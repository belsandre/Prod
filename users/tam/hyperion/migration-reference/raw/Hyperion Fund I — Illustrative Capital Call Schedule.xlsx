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dunteman/Desktop/Hyperion/~Fundraising/* DATA ROOM/X. Financial and Reporting/"/>
    </mc:Choice>
  </mc:AlternateContent>
  <xr:revisionPtr revIDLastSave="0" documentId="13_ncr:1_{4FAE36EE-FA99-5248-8D7D-09731FAC6941}" xr6:coauthVersionLast="47" xr6:coauthVersionMax="47" xr10:uidLastSave="{00000000-0000-0000-0000-000000000000}"/>
  <bookViews>
    <workbookView xWindow="380" yWindow="500" windowWidth="28040" windowHeight="16440" xr2:uid="{483E55AB-0A20-A041-B349-76A07DF6DA00}"/>
  </bookViews>
  <sheets>
    <sheet name="Sheet1" sheetId="1" r:id="rId1"/>
  </sheets>
  <definedNames>
    <definedName name="_xlnm.Print_Area" localSheetId="0">Sheet1!$B$2:$T$41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K14" i="1"/>
  <c r="L14" i="1"/>
  <c r="M14" i="1"/>
  <c r="N14" i="1"/>
  <c r="O14" i="1"/>
  <c r="P14" i="1"/>
  <c r="H14" i="1"/>
  <c r="F14" i="1" l="1"/>
  <c r="G14" i="1"/>
  <c r="Q14" i="1" l="1"/>
  <c r="I14" i="1"/>
  <c r="E14" i="1"/>
  <c r="D14" i="1"/>
  <c r="S14" i="1" l="1"/>
  <c r="D7" i="1" l="1"/>
  <c r="E10" i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</calcChain>
</file>

<file path=xl/sharedStrings.xml><?xml version="1.0" encoding="utf-8"?>
<sst xmlns="http://schemas.openxmlformats.org/spreadsheetml/2006/main" count="12" uniqueCount="12">
  <si>
    <t>Quarter Ended</t>
  </si>
  <si>
    <t>2026</t>
  </si>
  <si>
    <t>2027</t>
  </si>
  <si>
    <t>2028</t>
  </si>
  <si>
    <t>Year</t>
  </si>
  <si>
    <t>2025</t>
  </si>
  <si>
    <t>Commitment</t>
  </si>
  <si>
    <t>Capital Call</t>
  </si>
  <si>
    <t>% of Total Commit</t>
  </si>
  <si>
    <t>Total</t>
  </si>
  <si>
    <t>Onward</t>
  </si>
  <si>
    <t>2029 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</si>
</sst>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m/d/yy;_(&quot;$&quot;* \(#,##0.00\);_(&quot;$&quot;* &quot;-&quot;??_);_(@_)"/>
    <numFmt numFmtId="165" formatCode="#;_(&quot;$&quot;* \(#,##0.00\);_(&quot;$&quot;* &quot;-&quot;??_);_(@_)"/>
    <numFmt numFmtId="166" formatCode="&quot;$&quot;#,##0;\(&quot;$&quot;#,###\);&quot;&quot;"/>
  </numFmts>
  <fonts count="9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u val="singleAccounting"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432FF"/>
      <name val="Arial"/>
      <family val="2"/>
    </font>
    <font>
      <b/>
      <sz val="11"/>
      <color rgb="FF0432FF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</font>
    <font>
      <i/>
      <sz val="11"/>
      <color rgb="FF0432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EADD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5" fontId="2" fillId="0" borderId="0" xfId="0" applyNumberFormat="1" applyFont="1" applyAlignment="1">
      <alignment horizontal="centerContinuous"/>
    </xf>
    <xf numFmtId="164" fontId="2" fillId="0" borderId="0" xfId="0" quotePrefix="1" applyNumberFormat="1" applyFont="1" applyAlignment="1">
      <alignment horizontal="centerContinuous"/>
    </xf>
    <xf numFmtId="164" fontId="2" fillId="0" borderId="0" xfId="0" applyNumberFormat="1" applyFont="1" applyAlignment="1">
      <alignment horizontal="centerContinuous"/>
    </xf>
    <xf numFmtId="0" fontId="4" fillId="0" borderId="0" xfId="0" applyFont="1"/>
    <xf numFmtId="6" fontId="5" fillId="0" borderId="3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4" fontId="3" fillId="2" borderId="4" xfId="0" applyNumberFormat="1" applyFont="1" applyFill="1" applyBorder="1" applyAlignment="1">
      <alignment horizontal="centerContinuous" vertical="center"/>
    </xf>
    <xf numFmtId="44" fontId="3" fillId="2" borderId="5" xfId="0" applyNumberFormat="1" applyFont="1" applyFill="1" applyBorder="1" applyAlignment="1">
      <alignment horizontal="centerContinuous" vertical="center"/>
    </xf>
    <xf numFmtId="44" fontId="3" fillId="2" borderId="6" xfId="0" applyNumberFormat="1" applyFont="1" applyFill="1" applyBorder="1" applyAlignment="1">
      <alignment horizontal="centerContinuous" vertical="center"/>
    </xf>
    <xf numFmtId="0" fontId="7" fillId="0" borderId="0" xfId="0" applyFont="1"/>
    <xf numFmtId="166" fontId="1" fillId="0" borderId="0" xfId="0" applyNumberFormat="1" applyFont="1" applyAlignment="1">
      <alignment horizontal="center"/>
    </xf>
    <xf numFmtId="164" fontId="2" fillId="0" borderId="7" xfId="0" quotePrefix="1" applyNumberFormat="1" applyFont="1" applyBorder="1" applyAlignment="1">
      <alignment horizontal="centerContinuous"/>
    </xf>
    <xf numFmtId="164" fontId="2" fillId="0" borderId="7" xfId="0" applyNumberFormat="1" applyFont="1" applyBorder="1" applyAlignment="1">
      <alignment horizontal="centerContinuous"/>
    </xf>
    <xf numFmtId="0" fontId="1" fillId="0" borderId="7" xfId="0" applyFont="1" applyBorder="1"/>
    <xf numFmtId="166" fontId="3" fillId="3" borderId="7" xfId="0" applyNumberFormat="1" applyFont="1" applyFill="1" applyBorder="1" applyAlignment="1">
      <alignment horizontal="center"/>
    </xf>
    <xf numFmtId="165" fontId="2" fillId="0" borderId="7" xfId="0" applyNumberFormat="1" applyFont="1" applyBorder="1" applyAlignment="1">
      <alignment horizontal="centerContinuous"/>
    </xf>
    <xf numFmtId="0" fontId="6" fillId="0" borderId="0" xfId="0" applyFont="1" applyAlignment="1">
      <alignment horizontal="center"/>
    </xf>
    <xf numFmtId="166" fontId="3" fillId="3" borderId="0" xfId="0" applyNumberFormat="1" applyFont="1" applyFill="1" applyAlignment="1">
      <alignment horizontal="center"/>
    </xf>
    <xf numFmtId="166" fontId="3" fillId="4" borderId="1" xfId="0" applyNumberFormat="1" applyFont="1" applyFill="1" applyBorder="1" applyAlignment="1">
      <alignment horizontal="center"/>
    </xf>
    <xf numFmtId="164" fontId="3" fillId="0" borderId="0" xfId="0" quotePrefix="1" applyNumberFormat="1" applyFont="1" applyAlignment="1">
      <alignment horizontal="centerContinuous"/>
    </xf>
    <xf numFmtId="9" fontId="8" fillId="0" borderId="7" xfId="0" applyNumberFormat="1" applyFont="1" applyBorder="1"/>
    <xf numFmtId="9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ADD"/>
      <color rgb="FFFFD579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0FAF-F809-754A-93CC-43F05C219533}">
  <dimension ref="B3:X46"/>
  <sheetViews>
    <sheetView showGridLines="0" tabSelected="1" view="pageBreakPreview" zoomScale="90" zoomScaleNormal="150" workbookViewId="0">
      <selection activeCell="N31" sqref="N31"/>
    </sheetView>
  </sheetViews>
  <sheetFormatPr baseColWidth="10" defaultRowHeight="16" x14ac:dyDescent="0.2"/>
  <cols>
    <col min="1" max="1" width="5.83203125" style="1" customWidth="1"/>
    <col min="2" max="2" width="10.83203125" style="1"/>
    <col min="3" max="3" width="17.6640625" style="1" customWidth="1"/>
    <col min="4" max="17" width="10.83203125" style="1" customWidth="1"/>
    <col min="18" max="18" width="1.83203125" customWidth="1"/>
    <col min="19" max="16384" width="10.83203125" style="1"/>
  </cols>
  <sheetData>
    <row r="3" spans="3:19" x14ac:dyDescent="0.2">
      <c r="C3" s="7" t="s">
        <v>6</v>
      </c>
    </row>
    <row r="4" spans="3:19" x14ac:dyDescent="0.2">
      <c r="C4" s="6">
        <v>1000000</v>
      </c>
    </row>
    <row r="7" spans="3:19" x14ac:dyDescent="0.2">
      <c r="D7" s="8" t="str">
        <f>"Ilustrative Deployment of "&amp;TEXT(C4,"$#,###")&amp;" Commitment"</f>
        <v>Ilustrative Deployment of $1,000,000 Commitment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0"/>
      <c r="Q7" s="10"/>
    </row>
    <row r="9" spans="3:19" ht="18" x14ac:dyDescent="0.3">
      <c r="C9" s="1" t="s">
        <v>4</v>
      </c>
      <c r="D9" s="13" t="s">
        <v>5</v>
      </c>
      <c r="E9" s="3" t="s">
        <v>1</v>
      </c>
      <c r="F9" s="2"/>
      <c r="G9" s="2"/>
      <c r="H9" s="17"/>
      <c r="I9" s="3" t="s">
        <v>2</v>
      </c>
      <c r="J9" s="2"/>
      <c r="K9" s="2"/>
      <c r="L9" s="17"/>
      <c r="M9" s="3" t="s">
        <v>3</v>
      </c>
      <c r="N9" s="2"/>
      <c r="O9" s="2"/>
      <c r="P9" s="17"/>
      <c r="Q9" s="21" t="s">
        <v>11</v>
      </c>
    </row>
    <row r="10" spans="3:19" ht="18" x14ac:dyDescent="0.3">
      <c r="C10" s="1" t="s">
        <v>0</v>
      </c>
      <c r="D10" s="14">
        <v>46022</v>
      </c>
      <c r="E10" s="4">
        <f>EOMONTH(D10,3)</f>
        <v>46112</v>
      </c>
      <c r="F10" s="4">
        <f t="shared" ref="F10:L10" si="0">EOMONTH(E10,3)</f>
        <v>46203</v>
      </c>
      <c r="G10" s="4">
        <f t="shared" si="0"/>
        <v>46295</v>
      </c>
      <c r="H10" s="14">
        <f t="shared" si="0"/>
        <v>46387</v>
      </c>
      <c r="I10" s="4">
        <f t="shared" si="0"/>
        <v>46477</v>
      </c>
      <c r="J10" s="4">
        <f t="shared" si="0"/>
        <v>46568</v>
      </c>
      <c r="K10" s="4">
        <f t="shared" si="0"/>
        <v>46660</v>
      </c>
      <c r="L10" s="14">
        <f t="shared" si="0"/>
        <v>46752</v>
      </c>
      <c r="M10" s="4">
        <f t="shared" ref="M10:P10" si="1">EOMONTH(L10,3)</f>
        <v>46843</v>
      </c>
      <c r="N10" s="4">
        <f t="shared" si="1"/>
        <v>46934</v>
      </c>
      <c r="O10" s="4">
        <f t="shared" si="1"/>
        <v>47026</v>
      </c>
      <c r="P10" s="14">
        <f t="shared" si="1"/>
        <v>47118</v>
      </c>
      <c r="Q10" s="3" t="s">
        <v>10</v>
      </c>
      <c r="S10" s="18" t="s">
        <v>9</v>
      </c>
    </row>
    <row r="11" spans="3:19" x14ac:dyDescent="0.2">
      <c r="D11" s="15"/>
      <c r="H11" s="15"/>
      <c r="L11" s="15"/>
      <c r="P11" s="15"/>
    </row>
    <row r="12" spans="3:19" x14ac:dyDescent="0.2">
      <c r="D12" s="15"/>
      <c r="H12" s="15"/>
      <c r="L12" s="15"/>
      <c r="P12" s="15"/>
    </row>
    <row r="13" spans="3:19" x14ac:dyDescent="0.2">
      <c r="D13" s="15"/>
      <c r="H13" s="15"/>
      <c r="L13" s="15"/>
      <c r="P13" s="15"/>
    </row>
    <row r="14" spans="3:19" x14ac:dyDescent="0.2">
      <c r="C14" s="1" t="s">
        <v>7</v>
      </c>
      <c r="D14" s="16">
        <f>D15*$C$4</f>
        <v>150000</v>
      </c>
      <c r="E14" s="12">
        <f t="shared" ref="E14:Q14" si="2">E15*$C$4</f>
        <v>0</v>
      </c>
      <c r="F14" s="19">
        <f t="shared" si="2"/>
        <v>50000</v>
      </c>
      <c r="G14" s="19">
        <f t="shared" si="2"/>
        <v>50000</v>
      </c>
      <c r="H14" s="16">
        <f t="shared" si="2"/>
        <v>100000</v>
      </c>
      <c r="I14" s="19">
        <f t="shared" si="2"/>
        <v>50000</v>
      </c>
      <c r="J14" s="19">
        <f t="shared" ref="J14" si="3">J15*$C$4</f>
        <v>100000</v>
      </c>
      <c r="K14" s="19">
        <f t="shared" ref="K14" si="4">K15*$C$4</f>
        <v>50000</v>
      </c>
      <c r="L14" s="16">
        <f t="shared" ref="L14" si="5">L15*$C$4</f>
        <v>100000</v>
      </c>
      <c r="M14" s="19">
        <f t="shared" ref="M14" si="6">M15*$C$4</f>
        <v>50000</v>
      </c>
      <c r="N14" s="19">
        <f t="shared" ref="N14" si="7">N15*$C$4</f>
        <v>100000</v>
      </c>
      <c r="O14" s="19">
        <f t="shared" ref="O14" si="8">O15*$C$4</f>
        <v>50000</v>
      </c>
      <c r="P14" s="16">
        <f t="shared" ref="P14" si="9">P15*$C$4</f>
        <v>50000</v>
      </c>
      <c r="Q14" s="19">
        <f t="shared" si="2"/>
        <v>100000</v>
      </c>
      <c r="S14" s="20">
        <f>SUM(D14:R14)</f>
        <v>1000000</v>
      </c>
    </row>
    <row r="15" spans="3:19" x14ac:dyDescent="0.2">
      <c r="C15" s="11" t="s">
        <v>8</v>
      </c>
      <c r="D15" s="22">
        <v>0.15</v>
      </c>
      <c r="E15" s="5"/>
      <c r="F15" s="23">
        <v>0.05</v>
      </c>
      <c r="G15" s="23">
        <v>0.05</v>
      </c>
      <c r="H15" s="22">
        <v>0.1</v>
      </c>
      <c r="I15" s="23">
        <v>0.05</v>
      </c>
      <c r="J15" s="23">
        <v>0.1</v>
      </c>
      <c r="K15" s="23">
        <v>0.05</v>
      </c>
      <c r="L15" s="22">
        <v>0.1</v>
      </c>
      <c r="M15" s="23">
        <v>0.05</v>
      </c>
      <c r="N15" s="23">
        <v>0.1</v>
      </c>
      <c r="O15" s="23">
        <v>0.05</v>
      </c>
      <c r="P15" s="22">
        <v>0.05</v>
      </c>
      <c r="Q15" s="23">
        <v>0.1</v>
      </c>
    </row>
    <row r="17" spans="2:24" x14ac:dyDescent="0.2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S17"/>
      <c r="T17"/>
      <c r="U17"/>
      <c r="V17"/>
      <c r="W17"/>
      <c r="X17"/>
    </row>
    <row r="18" spans="2:24" x14ac:dyDescent="0.2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S18"/>
      <c r="T18"/>
      <c r="U18"/>
      <c r="V18"/>
      <c r="W18"/>
      <c r="X18"/>
    </row>
    <row r="19" spans="2:24" x14ac:dyDescent="0.2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S19"/>
      <c r="T19"/>
      <c r="U19"/>
      <c r="V19"/>
      <c r="W19"/>
      <c r="X19"/>
    </row>
    <row r="20" spans="2:24" x14ac:dyDescent="0.2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S20"/>
      <c r="T20"/>
      <c r="U20"/>
      <c r="V20"/>
      <c r="W20"/>
      <c r="X20"/>
    </row>
    <row r="21" spans="2:24" x14ac:dyDescent="0.2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S21"/>
      <c r="T21"/>
      <c r="U21"/>
      <c r="V21"/>
      <c r="W21"/>
      <c r="X21"/>
    </row>
    <row r="22" spans="2:24" x14ac:dyDescent="0.2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S22"/>
      <c r="T22"/>
      <c r="U22"/>
      <c r="V22"/>
      <c r="W22"/>
      <c r="X22"/>
    </row>
    <row r="23" spans="2:24" x14ac:dyDescent="0.2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S23"/>
      <c r="T23"/>
      <c r="U23"/>
      <c r="V23"/>
      <c r="W23"/>
      <c r="X23"/>
    </row>
    <row r="24" spans="2:24" x14ac:dyDescent="0.2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S24"/>
      <c r="T24"/>
      <c r="U24"/>
      <c r="V24"/>
      <c r="W24"/>
      <c r="X24"/>
    </row>
    <row r="25" spans="2:24" x14ac:dyDescent="0.2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S25"/>
      <c r="T25"/>
      <c r="U25"/>
      <c r="V25"/>
      <c r="W25"/>
      <c r="X25"/>
    </row>
    <row r="26" spans="2:24" x14ac:dyDescent="0.2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S26"/>
      <c r="T26"/>
      <c r="U26"/>
      <c r="V26"/>
      <c r="W26"/>
      <c r="X26"/>
    </row>
    <row r="27" spans="2:24" x14ac:dyDescent="0.2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S27"/>
      <c r="T27"/>
      <c r="U27"/>
      <c r="V27"/>
      <c r="W27"/>
      <c r="X27"/>
    </row>
    <row r="28" spans="2:24" x14ac:dyDescent="0.2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S28"/>
      <c r="T28"/>
      <c r="U28"/>
      <c r="V28"/>
      <c r="W28"/>
      <c r="X28"/>
    </row>
    <row r="29" spans="2:24" x14ac:dyDescent="0.2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S29"/>
      <c r="T29"/>
      <c r="U29"/>
      <c r="V29"/>
      <c r="W29"/>
      <c r="X29"/>
    </row>
    <row r="30" spans="2:24" x14ac:dyDescent="0.2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S30"/>
      <c r="T30"/>
      <c r="U30"/>
      <c r="V30"/>
      <c r="W30"/>
      <c r="X30"/>
    </row>
    <row r="31" spans="2:24" x14ac:dyDescent="0.2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S31"/>
      <c r="T31"/>
      <c r="U31"/>
      <c r="V31"/>
      <c r="W31"/>
      <c r="X31"/>
    </row>
    <row r="32" spans="2:24" x14ac:dyDescent="0.2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S32"/>
      <c r="T32"/>
      <c r="U32"/>
      <c r="V32"/>
      <c r="W32"/>
      <c r="X32"/>
    </row>
    <row r="33" spans="2:24" x14ac:dyDescent="0.2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S33"/>
      <c r="T33"/>
      <c r="U33"/>
      <c r="V33"/>
      <c r="W33"/>
      <c r="X33"/>
    </row>
    <row r="34" spans="2:24" x14ac:dyDescent="0.2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S34"/>
      <c r="T34"/>
      <c r="U34"/>
      <c r="V34"/>
      <c r="W34"/>
      <c r="X34"/>
    </row>
    <row r="35" spans="2:24" x14ac:dyDescent="0.2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S35"/>
      <c r="T35"/>
      <c r="U35"/>
      <c r="V35"/>
      <c r="W35"/>
      <c r="X35"/>
    </row>
    <row r="36" spans="2:24" x14ac:dyDescent="0.2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S36"/>
      <c r="T36"/>
      <c r="U36"/>
      <c r="V36"/>
      <c r="W36"/>
      <c r="X36"/>
    </row>
    <row r="37" spans="2:24" x14ac:dyDescent="0.2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S37"/>
      <c r="T37"/>
      <c r="U37"/>
      <c r="V37"/>
      <c r="W37"/>
      <c r="X37"/>
    </row>
    <row r="38" spans="2:24" x14ac:dyDescent="0.2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S38"/>
      <c r="T38"/>
      <c r="U38"/>
      <c r="V38"/>
      <c r="W38"/>
      <c r="X38"/>
    </row>
    <row r="39" spans="2:24" x14ac:dyDescent="0.2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S39"/>
      <c r="T39"/>
      <c r="U39"/>
      <c r="V39"/>
      <c r="W39"/>
      <c r="X39"/>
    </row>
    <row r="40" spans="2:24" x14ac:dyDescent="0.2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S40"/>
      <c r="T40"/>
      <c r="U40"/>
      <c r="V40"/>
      <c r="W40"/>
      <c r="X40"/>
    </row>
    <row r="41" spans="2:24" x14ac:dyDescent="0.2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S41"/>
      <c r="T41"/>
      <c r="U41"/>
      <c r="V41"/>
      <c r="W41"/>
      <c r="X41"/>
    </row>
    <row r="42" spans="2:24" x14ac:dyDescent="0.2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S42"/>
      <c r="T42"/>
      <c r="U42"/>
      <c r="V42"/>
      <c r="W42"/>
      <c r="X42"/>
    </row>
    <row r="43" spans="2:24" x14ac:dyDescent="0.2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S43"/>
      <c r="T43"/>
      <c r="U43"/>
      <c r="V43"/>
      <c r="W43"/>
      <c r="X43"/>
    </row>
    <row r="44" spans="2:24" x14ac:dyDescent="0.2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S44"/>
      <c r="T44"/>
      <c r="U44"/>
      <c r="V44"/>
      <c r="W44"/>
      <c r="X44"/>
    </row>
    <row r="45" spans="2:24" x14ac:dyDescent="0.2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S45"/>
      <c r="T45"/>
      <c r="U45"/>
      <c r="V45"/>
      <c r="W45"/>
      <c r="X45"/>
    </row>
    <row r="46" spans="2:24" x14ac:dyDescent="0.2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S46"/>
      <c r="T46"/>
      <c r="U46"/>
      <c r="V46"/>
      <c r="W46"/>
      <c r="X46"/>
    </row>
  </sheetData>
  <pageMargins left="0.7" right="0.7" top="0.75" bottom="0.75" header="0.3" footer="0.3"/>
  <pageSetup scale="41" orientation="portrait" horizontalDpi="0" verticalDpi="0"/>
  <ignoredErrors>
    <ignoredError sqref="D9:E9 I9 M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 Dunteman</dc:creator>
  <cp:lastModifiedBy>Dillon Dunteman</cp:lastModifiedBy>
  <dcterms:created xsi:type="dcterms:W3CDTF">2025-09-02T21:55:34Z</dcterms:created>
  <dcterms:modified xsi:type="dcterms:W3CDTF">2025-09-06T05:33:25Z</dcterms:modified>
</cp:coreProperties>
</file>
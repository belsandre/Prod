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dunteman/Desktop/Hyperion/~Fundraising/Portfolio Construction Model/"/>
    </mc:Choice>
  </mc:AlternateContent>
  <xr:revisionPtr revIDLastSave="0" documentId="13_ncr:1_{042F0521-BBFE-5F40-B8EC-BBE08D6229FA}" xr6:coauthVersionLast="47" xr6:coauthVersionMax="47" xr10:uidLastSave="{00000000-0000-0000-0000-000000000000}"/>
  <bookViews>
    <workbookView xWindow="0" yWindow="520" windowWidth="28740" windowHeight="16340" xr2:uid="{26A5E6C8-3DA0-204B-AD7E-F41F71CF8CA2}"/>
  </bookViews>
  <sheets>
    <sheet name="Returns Mode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5" l="1"/>
  <c r="Y56" i="5"/>
  <c r="Y55" i="5"/>
  <c r="Y54" i="5"/>
  <c r="X21" i="5" l="1"/>
  <c r="K21" i="5"/>
  <c r="J21" i="5"/>
  <c r="I21" i="5"/>
  <c r="G21" i="5"/>
  <c r="H21" i="5"/>
  <c r="D45" i="5"/>
  <c r="D46" i="5"/>
  <c r="D20" i="5"/>
  <c r="D19" i="5"/>
  <c r="D18" i="5"/>
  <c r="H14" i="5"/>
  <c r="L14" i="5" s="1"/>
  <c r="K20" i="5"/>
  <c r="O20" i="5" s="1"/>
  <c r="J20" i="5"/>
  <c r="N20" i="5" s="1"/>
  <c r="I20" i="5"/>
  <c r="M20" i="5" s="1"/>
  <c r="H20" i="5"/>
  <c r="L20" i="5" s="1"/>
  <c r="K19" i="5"/>
  <c r="O19" i="5" s="1"/>
  <c r="J19" i="5"/>
  <c r="N19" i="5" s="1"/>
  <c r="I19" i="5"/>
  <c r="M19" i="5" s="1"/>
  <c r="H19" i="5"/>
  <c r="K18" i="5"/>
  <c r="J18" i="5"/>
  <c r="N18" i="5" s="1"/>
  <c r="I18" i="5"/>
  <c r="M18" i="5" s="1"/>
  <c r="H18" i="5"/>
  <c r="L18" i="5" s="1"/>
  <c r="L19" i="5"/>
  <c r="O18" i="5"/>
  <c r="S56" i="5"/>
  <c r="S55" i="5"/>
  <c r="S54" i="5"/>
  <c r="X57" i="5"/>
  <c r="W57" i="5"/>
  <c r="V57" i="5"/>
  <c r="U57" i="5"/>
  <c r="X31" i="5"/>
  <c r="W31" i="5"/>
  <c r="V31" i="5"/>
  <c r="Y48" i="5"/>
  <c r="Y47" i="5"/>
  <c r="Y46" i="5"/>
  <c r="Y42" i="5"/>
  <c r="Y41" i="5"/>
  <c r="Y40" i="5"/>
  <c r="Y36" i="5"/>
  <c r="Y35" i="5"/>
  <c r="Y34" i="5"/>
  <c r="K14" i="5"/>
  <c r="O14" i="5" s="1"/>
  <c r="J14" i="5"/>
  <c r="N14" i="5" s="1"/>
  <c r="I14" i="5"/>
  <c r="M14" i="5" s="1"/>
  <c r="K13" i="5"/>
  <c r="O13" i="5" s="1"/>
  <c r="J13" i="5"/>
  <c r="I13" i="5"/>
  <c r="M13" i="5" s="1"/>
  <c r="H13" i="5"/>
  <c r="K12" i="5"/>
  <c r="O12" i="5" s="1"/>
  <c r="J12" i="5"/>
  <c r="N12" i="5" s="1"/>
  <c r="I12" i="5"/>
  <c r="M12" i="5" s="1"/>
  <c r="O48" i="5"/>
  <c r="N48" i="5"/>
  <c r="G47" i="5"/>
  <c r="G50" i="5"/>
  <c r="G49" i="5"/>
  <c r="G48" i="5"/>
  <c r="G42" i="5"/>
  <c r="G43" i="5"/>
  <c r="G44" i="5"/>
  <c r="G41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K47" i="5" s="1"/>
  <c r="J17" i="5"/>
  <c r="J47" i="5" s="1"/>
  <c r="I17" i="5"/>
  <c r="I47" i="5" s="1"/>
  <c r="H17" i="5"/>
  <c r="H47" i="5" s="1"/>
  <c r="D56" i="5"/>
  <c r="D57" i="5"/>
  <c r="D58" i="5"/>
  <c r="D59" i="5"/>
  <c r="D60" i="5"/>
  <c r="D61" i="5"/>
  <c r="D62" i="5"/>
  <c r="D63" i="5"/>
  <c r="D64" i="5"/>
  <c r="D55" i="5"/>
  <c r="W9" i="5"/>
  <c r="V9" i="5"/>
  <c r="U9" i="5"/>
  <c r="T9" i="5"/>
  <c r="S9" i="5"/>
  <c r="R9" i="5"/>
  <c r="Q9" i="5"/>
  <c r="P9" i="5"/>
  <c r="O9" i="5"/>
  <c r="N9" i="5"/>
  <c r="L9" i="5"/>
  <c r="K9" i="5"/>
  <c r="O47" i="5" s="1"/>
  <c r="J9" i="5"/>
  <c r="N47" i="5" s="1"/>
  <c r="I9" i="5"/>
  <c r="M47" i="5" s="1"/>
  <c r="H9" i="5"/>
  <c r="H41" i="5" s="1"/>
  <c r="H12" i="5"/>
  <c r="L12" i="5" s="1"/>
  <c r="B5" i="5"/>
  <c r="B4" i="5"/>
  <c r="B3" i="5"/>
  <c r="B2" i="5" s="1"/>
  <c r="X49" i="5"/>
  <c r="W49" i="5"/>
  <c r="V49" i="5"/>
  <c r="U49" i="5"/>
  <c r="X43" i="5"/>
  <c r="W43" i="5"/>
  <c r="V43" i="5"/>
  <c r="U43" i="5"/>
  <c r="U31" i="5"/>
  <c r="X37" i="5"/>
  <c r="W37" i="5"/>
  <c r="V37" i="5"/>
  <c r="U37" i="5"/>
  <c r="C66" i="5"/>
  <c r="D39" i="5" s="1"/>
  <c r="B56" i="5"/>
  <c r="B57" i="5" s="1"/>
  <c r="B58" i="5" s="1"/>
  <c r="B59" i="5" s="1"/>
  <c r="B60" i="5" s="1"/>
  <c r="B61" i="5" s="1"/>
  <c r="B62" i="5" s="1"/>
  <c r="B63" i="5" s="1"/>
  <c r="B64" i="5" s="1"/>
  <c r="L13" i="5" l="1"/>
  <c r="N13" i="5"/>
  <c r="L47" i="5"/>
  <c r="K41" i="5" l="1"/>
  <c r="I41" i="5"/>
  <c r="L41" i="5"/>
  <c r="E41" i="5"/>
  <c r="E39" i="5"/>
  <c r="C21" i="5"/>
  <c r="K50" i="5"/>
  <c r="S20" i="5" s="1"/>
  <c r="W20" i="5" s="1"/>
  <c r="J50" i="5"/>
  <c r="R20" i="5" s="1"/>
  <c r="V20" i="5" s="1"/>
  <c r="I50" i="5"/>
  <c r="Q20" i="5" s="1"/>
  <c r="U20" i="5" s="1"/>
  <c r="H50" i="5"/>
  <c r="P20" i="5" s="1"/>
  <c r="T20" i="5" s="1"/>
  <c r="AE20" i="5"/>
  <c r="G20" i="5"/>
  <c r="E20" i="5"/>
  <c r="X20" i="5" s="1"/>
  <c r="AH20" i="5" s="1"/>
  <c r="K49" i="5"/>
  <c r="S19" i="5" s="1"/>
  <c r="W19" i="5" s="1"/>
  <c r="J49" i="5"/>
  <c r="R19" i="5" s="1"/>
  <c r="V19" i="5" s="1"/>
  <c r="I49" i="5"/>
  <c r="Q19" i="5" s="1"/>
  <c r="U19" i="5" s="1"/>
  <c r="H49" i="5"/>
  <c r="P19" i="5" s="1"/>
  <c r="T19" i="5" s="1"/>
  <c r="AE19" i="5"/>
  <c r="G19" i="5"/>
  <c r="E19" i="5"/>
  <c r="K48" i="5"/>
  <c r="S18" i="5" s="1"/>
  <c r="W18" i="5" s="1"/>
  <c r="J48" i="5"/>
  <c r="R18" i="5" s="1"/>
  <c r="V18" i="5" s="1"/>
  <c r="I48" i="5"/>
  <c r="Q18" i="5" s="1"/>
  <c r="U18" i="5" s="1"/>
  <c r="H48" i="5"/>
  <c r="P18" i="5" s="1"/>
  <c r="T18" i="5" s="1"/>
  <c r="T21" i="5" s="1"/>
  <c r="AE18" i="5"/>
  <c r="G18" i="5"/>
  <c r="E18" i="5"/>
  <c r="K15" i="5"/>
  <c r="J15" i="5"/>
  <c r="I15" i="5"/>
  <c r="H15" i="5"/>
  <c r="C15" i="5"/>
  <c r="J44" i="5"/>
  <c r="R14" i="5" s="1"/>
  <c r="V14" i="5" s="1"/>
  <c r="K44" i="5"/>
  <c r="S14" i="5" s="1"/>
  <c r="W14" i="5" s="1"/>
  <c r="I44" i="5"/>
  <c r="Q14" i="5" s="1"/>
  <c r="U14" i="5" s="1"/>
  <c r="H44" i="5"/>
  <c r="P14" i="5" s="1"/>
  <c r="T14" i="5" s="1"/>
  <c r="AE14" i="5"/>
  <c r="G14" i="5"/>
  <c r="E14" i="5"/>
  <c r="K43" i="5"/>
  <c r="S13" i="5" s="1"/>
  <c r="W13" i="5" s="1"/>
  <c r="J43" i="5"/>
  <c r="R13" i="5" s="1"/>
  <c r="V13" i="5" s="1"/>
  <c r="I43" i="5"/>
  <c r="Q13" i="5" s="1"/>
  <c r="U13" i="5" s="1"/>
  <c r="H43" i="5"/>
  <c r="P13" i="5" s="1"/>
  <c r="T13" i="5" s="1"/>
  <c r="AE13" i="5"/>
  <c r="G13" i="5"/>
  <c r="E13" i="5"/>
  <c r="X13" i="5" s="1"/>
  <c r="K42" i="5"/>
  <c r="S12" i="5" s="1"/>
  <c r="W12" i="5" s="1"/>
  <c r="J42" i="5"/>
  <c r="R12" i="5" s="1"/>
  <c r="V12" i="5" s="1"/>
  <c r="I42" i="5"/>
  <c r="Q12" i="5" s="1"/>
  <c r="U12" i="5" s="1"/>
  <c r="H42" i="5"/>
  <c r="P12" i="5" s="1"/>
  <c r="T12" i="5" s="1"/>
  <c r="AE12" i="5"/>
  <c r="G12" i="5"/>
  <c r="E12" i="5"/>
  <c r="V21" i="5" l="1"/>
  <c r="U21" i="5"/>
  <c r="W21" i="5"/>
  <c r="X18" i="5"/>
  <c r="AH18" i="5" s="1"/>
  <c r="E21" i="5"/>
  <c r="D21" i="5" s="1"/>
  <c r="D32" i="5"/>
  <c r="D33" i="5" s="1"/>
  <c r="D35" i="5" s="1"/>
  <c r="E35" i="5" s="1"/>
  <c r="X14" i="5"/>
  <c r="AH14" i="5" s="1"/>
  <c r="AH13" i="5"/>
  <c r="X12" i="5"/>
  <c r="G15" i="5"/>
  <c r="E15" i="5"/>
  <c r="M41" i="5"/>
  <c r="N41" i="5"/>
  <c r="X19" i="5"/>
  <c r="O41" i="5"/>
  <c r="J41" i="5"/>
  <c r="X15" i="5" l="1"/>
  <c r="AH15" i="5" s="1"/>
  <c r="AH12" i="5"/>
  <c r="AH19" i="5"/>
  <c r="W15" i="5"/>
  <c r="D15" i="5"/>
  <c r="Y13" i="5"/>
  <c r="U15" i="5"/>
  <c r="Y18" i="5"/>
  <c r="Y14" i="5"/>
  <c r="V15" i="5"/>
  <c r="Y20" i="5"/>
  <c r="AI20" i="5" s="1"/>
  <c r="Y19" i="5"/>
  <c r="AI19" i="5" s="1"/>
  <c r="Y12" i="5"/>
  <c r="T15" i="5"/>
  <c r="AI18" i="5" l="1"/>
  <c r="Y21" i="5"/>
  <c r="AA21" i="5" s="1"/>
  <c r="E49" i="5"/>
  <c r="AH21" i="5"/>
  <c r="AK14" i="5"/>
  <c r="AI14" i="5"/>
  <c r="AJ14" i="5" s="1"/>
  <c r="AK13" i="5"/>
  <c r="AI13" i="5"/>
  <c r="AJ13" i="5" s="1"/>
  <c r="AK12" i="5"/>
  <c r="AI12" i="5"/>
  <c r="AJ12" i="5" s="1"/>
  <c r="Y15" i="5"/>
  <c r="AA15" i="5" l="1"/>
  <c r="E40" i="5"/>
  <c r="E50" i="5"/>
  <c r="AB21" i="5" s="1"/>
  <c r="AL21" i="5" s="1"/>
  <c r="AI21" i="5"/>
  <c r="AJ21" i="5" s="1"/>
  <c r="AI15" i="5"/>
  <c r="Z21" i="5"/>
  <c r="Z15" i="5"/>
  <c r="AK15" i="5" l="1"/>
  <c r="AJ15" i="5"/>
  <c r="AC21" i="5"/>
  <c r="AM21" i="5" s="1"/>
  <c r="AK21" i="5"/>
  <c r="E42" i="5" l="1"/>
  <c r="AB15" i="5" l="1"/>
  <c r="AL15" i="5" s="1"/>
  <c r="AC15" i="5" l="1"/>
  <c r="AM15" i="5" s="1"/>
</calcChain>
</file>

<file path=xl/sharedStrings.xml><?xml version="1.0" encoding="utf-8"?>
<sst xmlns="http://schemas.openxmlformats.org/spreadsheetml/2006/main" count="127" uniqueCount="73">
  <si>
    <t>Size</t>
  </si>
  <si>
    <t>Avg. Entry</t>
  </si>
  <si>
    <t>Valuation</t>
  </si>
  <si>
    <t>Deployed</t>
  </si>
  <si>
    <t xml:space="preserve">Avg. </t>
  </si>
  <si>
    <t xml:space="preserve"> Post-Money</t>
  </si>
  <si>
    <t>Count</t>
  </si>
  <si>
    <t>Outcomes</t>
  </si>
  <si>
    <t>Total Co-Invest</t>
  </si>
  <si>
    <t>Co-Invest</t>
  </si>
  <si>
    <t>Check</t>
  </si>
  <si>
    <t>Returns</t>
  </si>
  <si>
    <t>Returned</t>
  </si>
  <si>
    <t>Total Fund</t>
  </si>
  <si>
    <t>Inv.</t>
  </si>
  <si>
    <t>Capital</t>
  </si>
  <si>
    <t>Total</t>
  </si>
  <si>
    <t>Avg.</t>
  </si>
  <si>
    <t>MOIC</t>
  </si>
  <si>
    <t>% Own.</t>
  </si>
  <si>
    <t># Rounds to Exit</t>
  </si>
  <si>
    <t>Fund</t>
  </si>
  <si>
    <t>Seed</t>
  </si>
  <si>
    <t>Pre-Seed</t>
  </si>
  <si>
    <t>Series A</t>
  </si>
  <si>
    <t>Series B</t>
  </si>
  <si>
    <t>Series C</t>
  </si>
  <si>
    <t>Gross</t>
  </si>
  <si>
    <t>Avg. Dilution per Round</t>
  </si>
  <si>
    <t>$ mm</t>
  </si>
  <si>
    <t>Count by Outcome</t>
  </si>
  <si>
    <t>Dilution by Outcome</t>
  </si>
  <si>
    <t>Outcome multiples represent gross mark-ups / mark-downs</t>
  </si>
  <si>
    <t>Fund Size</t>
  </si>
  <si>
    <t xml:space="preserve">   </t>
  </si>
  <si>
    <t>Exit Valuation</t>
  </si>
  <si>
    <t>Fee</t>
  </si>
  <si>
    <t>Impact</t>
  </si>
  <si>
    <t>Net</t>
  </si>
  <si>
    <t>DPI</t>
  </si>
  <si>
    <t>Fees</t>
  </si>
  <si>
    <t>Carry</t>
  </si>
  <si>
    <t>Upfront Fee</t>
  </si>
  <si>
    <t>Cap. Returned by Outcome</t>
  </si>
  <si>
    <t>(+) Recycling</t>
  </si>
  <si>
    <t>Initial Capital to Deploy</t>
  </si>
  <si>
    <t>Total Deployable Capital</t>
  </si>
  <si>
    <t>(-) Fees &amp; Expenses</t>
  </si>
  <si>
    <t xml:space="preserve">Gross </t>
  </si>
  <si>
    <t>%</t>
  </si>
  <si>
    <t>$</t>
  </si>
  <si>
    <t>Year</t>
  </si>
  <si>
    <t>Fee %</t>
  </si>
  <si>
    <t>Average</t>
  </si>
  <si>
    <t>10x DPI Case</t>
  </si>
  <si>
    <t>3x DPI Case</t>
  </si>
  <si>
    <t>[Case 3]</t>
  </si>
  <si>
    <t>Fund Cases</t>
  </si>
  <si>
    <t xml:space="preserve">Fund   </t>
  </si>
  <si>
    <t xml:space="preserve">Co-Invest   </t>
  </si>
  <si>
    <t>Fund Assumptions</t>
  </si>
  <si>
    <t>Total Dilution at Exit</t>
  </si>
  <si>
    <t xml:space="preserve">Co-Invest </t>
  </si>
  <si>
    <t>Total Fees &amp; Expenses</t>
  </si>
  <si>
    <t>Fund Fees &amp; Expenses</t>
  </si>
  <si>
    <t>Co-Invest Fees &amp; Expenses</t>
  </si>
  <si>
    <t>Fund Expenses per Year</t>
  </si>
  <si>
    <t>Avg. Mgmt Fee Per Year</t>
  </si>
  <si>
    <t>Returns Output for Deck Slide</t>
  </si>
  <si>
    <t>Gross Multiple and Dilution Assumptions</t>
  </si>
  <si>
    <t>Fund Management Fee Schedule</t>
  </si>
  <si>
    <t>Gross Mark-up Multiples</t>
  </si>
  <si>
    <t>Co-Invest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</si>
</sst>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"/>
    <numFmt numFmtId="165" formatCode="0.0%"/>
    <numFmt numFmtId="166" formatCode="0.0\x"/>
    <numFmt numFmtId="167" formatCode="&quot;$&quot;#,##0.0;\(&quot;$&quot;#,##0.0\);&quot;- &quot;"/>
    <numFmt numFmtId="168" formatCode="0;\(0\);&quot;-&quot;"/>
    <numFmt numFmtId="169" formatCode="&quot;$&quot;#,##0.0_);\(&quot;$&quot;#,##0.0\)"/>
    <numFmt numFmtId="170" formatCode="#%;\(#%\);&quot;-&quot;"/>
    <numFmt numFmtId="171" formatCode="&quot;$&quot;#,##0.0&quot; &quot;;\(&quot;$&quot;#,##0.0\);&quot;- &quot;"/>
    <numFmt numFmtId="172" formatCode="0.0;\(0.0\);&quot;-&quot;"/>
    <numFmt numFmtId="173" formatCode="&quot;$&quot;#,##0.00"/>
    <numFmt numFmtId="174" formatCode="&quot;$&quot;#,##0.00;\(&quot;$&quot;#,##0.00\);&quot;- &quot;"/>
    <numFmt numFmtId="175" formatCode="&quot;$&quot;#,##0&quot; &quot;;\(&quot;$&quot;#,##0\);&quot;- &quot;"/>
    <numFmt numFmtId="176" formatCode="0.0\x;\(0.0\x\)"/>
    <numFmt numFmtId="177" formatCode="#.0%;\(#.0%\);&quot;-&quot;"/>
    <numFmt numFmtId="178" formatCode="&quot;$&quot;#,##0;\(&quot;$&quot;#,###\);&quot;&quot;"/>
  </numFmts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Proxima Nova Regular"/>
    </font>
    <font>
      <b/>
      <sz val="12"/>
      <color theme="0"/>
      <name val="Proxima Nova Regular"/>
    </font>
    <font>
      <b/>
      <u val="singleAccounting"/>
      <sz val="12"/>
      <color theme="0"/>
      <name val="Proxima Nova Regular"/>
    </font>
    <font>
      <b/>
      <u/>
      <sz val="12"/>
      <color theme="0"/>
      <name val="Proxima Nova Regular"/>
    </font>
    <font>
      <u/>
      <sz val="12"/>
      <color theme="0"/>
      <name val="Proxima Nova Regular"/>
    </font>
    <font>
      <i/>
      <sz val="12"/>
      <color theme="0"/>
      <name val="Proxima Nova Regular"/>
    </font>
    <font>
      <sz val="12"/>
      <color theme="3" tint="0.749992370372631"/>
      <name val="Proxima Nova Regular"/>
    </font>
    <font>
      <b/>
      <i/>
      <sz val="12"/>
      <color theme="0"/>
      <name val="Proxima Nova Regular"/>
    </font>
    <font>
      <i/>
      <u val="singleAccounting"/>
      <sz val="12"/>
      <color theme="0"/>
      <name val="Proxima Nova Regular"/>
    </font>
    <font>
      <sz val="11"/>
      <color theme="0"/>
      <name val="Proxima Nova Regular"/>
    </font>
    <font>
      <b/>
      <sz val="11"/>
      <color theme="0"/>
      <name val="Proxima Nova Regular"/>
    </font>
    <font>
      <b/>
      <i/>
      <u val="singleAccounting"/>
      <sz val="12"/>
      <color theme="0"/>
      <name val="Proxima Nova Regular"/>
    </font>
    <font>
      <b/>
      <sz val="12"/>
      <color rgb="FF0000CF"/>
      <name val="Proxima Nova Regular"/>
    </font>
    <font>
      <b/>
      <sz val="12"/>
      <color theme="3" tint="0.749992370372631"/>
      <name val="Proxima Nova Regular"/>
    </font>
    <font>
      <b/>
      <sz val="12"/>
      <color rgb="FFA6C9EC"/>
      <name val="Proxima Nova Regular"/>
    </font>
    <font>
      <u val="singleAccounting"/>
      <sz val="12"/>
      <color theme="0"/>
      <name val="Proxima Nova Regular"/>
    </font>
    <font>
      <b/>
      <u val="singleAccounting"/>
      <sz val="12"/>
      <color theme="1"/>
      <name val="Proxima Nova Regular"/>
    </font>
    <font>
      <u val="singleAccounting"/>
      <sz val="12"/>
      <color theme="1"/>
      <name val="Proxima Nova Regular"/>
    </font>
    <font>
      <sz val="12"/>
      <color rgb="FFA6C9EC"/>
      <name val="Proxima Nova Regular"/>
    </font>
    <font>
      <b/>
      <sz val="12"/>
      <color theme="1"/>
      <name val="Proxima Nova Regula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501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medium">
        <color theme="0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indexed="64"/>
      </top>
      <bottom style="medium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6">
    <xf numFmtId="0" fontId="0" fillId="0" borderId="0" xfId="0"/>
    <xf numFmtId="0" fontId="2" fillId="4" borderId="0" xfId="0" applyFont="1" applyFill="1"/>
    <xf numFmtId="166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4" fontId="4" fillId="4" borderId="0" xfId="0" applyNumberFormat="1" applyFont="1" applyFill="1" applyAlignment="1">
      <alignment horizontal="left"/>
    </xf>
    <xf numFmtId="44" fontId="4" fillId="4" borderId="0" xfId="0" applyNumberFormat="1" applyFon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5" fontId="2" fillId="4" borderId="0" xfId="1" applyNumberFormat="1" applyFont="1" applyFill="1" applyAlignment="1">
      <alignment horizontal="center"/>
    </xf>
    <xf numFmtId="168" fontId="2" fillId="4" borderId="0" xfId="0" applyNumberFormat="1" applyFont="1" applyFill="1" applyAlignment="1">
      <alignment horizontal="center"/>
    </xf>
    <xf numFmtId="165" fontId="2" fillId="4" borderId="0" xfId="1" applyNumberFormat="1" applyFont="1" applyFill="1" applyBorder="1" applyAlignment="1">
      <alignment horizontal="center"/>
    </xf>
    <xf numFmtId="0" fontId="3" fillId="4" borderId="0" xfId="0" applyFont="1" applyFill="1"/>
    <xf numFmtId="164" fontId="3" fillId="4" borderId="0" xfId="0" applyNumberFormat="1" applyFont="1" applyFill="1" applyAlignment="1">
      <alignment horizontal="center"/>
    </xf>
    <xf numFmtId="165" fontId="3" fillId="4" borderId="0" xfId="1" applyNumberFormat="1" applyFont="1" applyFill="1" applyAlignment="1">
      <alignment horizontal="center"/>
    </xf>
    <xf numFmtId="168" fontId="3" fillId="4" borderId="0" xfId="1" applyNumberFormat="1" applyFont="1" applyFill="1" applyAlignment="1">
      <alignment horizontal="center"/>
    </xf>
    <xf numFmtId="166" fontId="2" fillId="4" borderId="0" xfId="0" applyNumberFormat="1" applyFont="1" applyFill="1"/>
    <xf numFmtId="0" fontId="7" fillId="4" borderId="0" xfId="0" applyFont="1" applyFill="1"/>
    <xf numFmtId="44" fontId="4" fillId="4" borderId="5" xfId="0" applyNumberFormat="1" applyFont="1" applyFill="1" applyBorder="1" applyAlignment="1">
      <alignment horizontal="center"/>
    </xf>
    <xf numFmtId="0" fontId="2" fillId="4" borderId="6" xfId="0" applyFont="1" applyFill="1" applyBorder="1"/>
    <xf numFmtId="166" fontId="4" fillId="4" borderId="6" xfId="0" applyNumberFormat="1" applyFont="1" applyFill="1" applyBorder="1" applyAlignment="1">
      <alignment horizontal="center"/>
    </xf>
    <xf numFmtId="44" fontId="4" fillId="4" borderId="6" xfId="0" applyNumberFormat="1" applyFont="1" applyFill="1" applyBorder="1" applyAlignment="1">
      <alignment horizontal="center"/>
    </xf>
    <xf numFmtId="168" fontId="2" fillId="4" borderId="6" xfId="0" applyNumberFormat="1" applyFont="1" applyFill="1" applyBorder="1" applyAlignment="1">
      <alignment horizontal="center"/>
    </xf>
    <xf numFmtId="168" fontId="3" fillId="4" borderId="6" xfId="1" applyNumberFormat="1" applyFont="1" applyFill="1" applyBorder="1" applyAlignment="1">
      <alignment horizontal="center"/>
    </xf>
    <xf numFmtId="165" fontId="2" fillId="4" borderId="6" xfId="1" applyNumberFormat="1" applyFont="1" applyFill="1" applyBorder="1" applyAlignment="1">
      <alignment horizont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44" fontId="4" fillId="4" borderId="6" xfId="0" applyNumberFormat="1" applyFont="1" applyFill="1" applyBorder="1" applyAlignment="1">
      <alignment horizontal="centerContinuous" vertical="center"/>
    </xf>
    <xf numFmtId="44" fontId="4" fillId="4" borderId="0" xfId="0" applyNumberFormat="1" applyFont="1" applyFill="1" applyAlignment="1">
      <alignment horizontal="centerContinuous" vertical="center"/>
    </xf>
    <xf numFmtId="0" fontId="3" fillId="4" borderId="4" xfId="0" applyFont="1" applyFill="1" applyBorder="1" applyAlignment="1">
      <alignment horizontal="centerContinuous" vertical="center"/>
    </xf>
    <xf numFmtId="0" fontId="2" fillId="4" borderId="7" xfId="0" applyFont="1" applyFill="1" applyBorder="1"/>
    <xf numFmtId="0" fontId="2" fillId="4" borderId="7" xfId="0" applyFont="1" applyFill="1" applyBorder="1" applyAlignment="1">
      <alignment horizontal="center"/>
    </xf>
    <xf numFmtId="164" fontId="2" fillId="4" borderId="7" xfId="0" applyNumberFormat="1" applyFont="1" applyFill="1" applyBorder="1" applyAlignment="1">
      <alignment horizontal="center"/>
    </xf>
    <xf numFmtId="165" fontId="2" fillId="4" borderId="7" xfId="1" applyNumberFormat="1" applyFont="1" applyFill="1" applyBorder="1" applyAlignment="1">
      <alignment horizontal="center"/>
    </xf>
    <xf numFmtId="168" fontId="2" fillId="4" borderId="9" xfId="0" applyNumberFormat="1" applyFont="1" applyFill="1" applyBorder="1" applyAlignment="1">
      <alignment horizontal="center"/>
    </xf>
    <xf numFmtId="168" fontId="2" fillId="4" borderId="7" xfId="0" applyNumberFormat="1" applyFont="1" applyFill="1" applyBorder="1" applyAlignment="1">
      <alignment horizontal="center"/>
    </xf>
    <xf numFmtId="166" fontId="2" fillId="4" borderId="7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70" fontId="2" fillId="4" borderId="6" xfId="0" applyNumberFormat="1" applyFont="1" applyFill="1" applyBorder="1" applyAlignment="1">
      <alignment horizontal="center"/>
    </xf>
    <xf numFmtId="170" fontId="2" fillId="4" borderId="0" xfId="0" applyNumberFormat="1" applyFont="1" applyFill="1" applyAlignment="1">
      <alignment horizontal="center"/>
    </xf>
    <xf numFmtId="170" fontId="2" fillId="4" borderId="9" xfId="0" applyNumberFormat="1" applyFont="1" applyFill="1" applyBorder="1" applyAlignment="1">
      <alignment horizontal="center"/>
    </xf>
    <xf numFmtId="170" fontId="2" fillId="4" borderId="7" xfId="0" applyNumberFormat="1" applyFont="1" applyFill="1" applyBorder="1" applyAlignment="1">
      <alignment horizontal="center"/>
    </xf>
    <xf numFmtId="170" fontId="3" fillId="4" borderId="6" xfId="1" applyNumberFormat="1" applyFont="1" applyFill="1" applyBorder="1" applyAlignment="1">
      <alignment horizontal="center"/>
    </xf>
    <xf numFmtId="170" fontId="3" fillId="4" borderId="0" xfId="1" applyNumberFormat="1" applyFont="1" applyFill="1" applyAlignment="1">
      <alignment horizontal="center"/>
    </xf>
    <xf numFmtId="170" fontId="2" fillId="4" borderId="6" xfId="1" applyNumberFormat="1" applyFont="1" applyFill="1" applyBorder="1" applyAlignment="1">
      <alignment horizontal="center"/>
    </xf>
    <xf numFmtId="170" fontId="2" fillId="4" borderId="0" xfId="0" applyNumberFormat="1" applyFont="1" applyFill="1"/>
    <xf numFmtId="44" fontId="4" fillId="5" borderId="6" xfId="0" applyNumberFormat="1" applyFont="1" applyFill="1" applyBorder="1" applyAlignment="1">
      <alignment horizontal="centerContinuous" vertical="center"/>
    </xf>
    <xf numFmtId="44" fontId="4" fillId="5" borderId="0" xfId="0" applyNumberFormat="1" applyFont="1" applyFill="1" applyAlignment="1">
      <alignment horizontal="centerContinuous" vertical="center"/>
    </xf>
    <xf numFmtId="166" fontId="3" fillId="5" borderId="0" xfId="1" applyNumberFormat="1" applyFont="1" applyFill="1" applyAlignment="1">
      <alignment horizontal="center"/>
    </xf>
    <xf numFmtId="44" fontId="4" fillId="5" borderId="0" xfId="0" applyNumberFormat="1" applyFont="1" applyFill="1" applyAlignment="1">
      <alignment horizontal="left"/>
    </xf>
    <xf numFmtId="165" fontId="3" fillId="4" borderId="0" xfId="1" applyNumberFormat="1" applyFont="1" applyFill="1" applyBorder="1" applyAlignment="1">
      <alignment horizontal="center"/>
    </xf>
    <xf numFmtId="168" fontId="3" fillId="4" borderId="0" xfId="1" applyNumberFormat="1" applyFont="1" applyFill="1" applyBorder="1" applyAlignment="1">
      <alignment horizontal="center"/>
    </xf>
    <xf numFmtId="170" fontId="3" fillId="4" borderId="0" xfId="1" applyNumberFormat="1" applyFont="1" applyFill="1" applyBorder="1" applyAlignment="1">
      <alignment horizontal="center"/>
    </xf>
    <xf numFmtId="167" fontId="3" fillId="4" borderId="0" xfId="1" applyNumberFormat="1" applyFont="1" applyFill="1" applyBorder="1" applyAlignment="1">
      <alignment horizontal="center"/>
    </xf>
    <xf numFmtId="166" fontId="3" fillId="4" borderId="0" xfId="1" applyNumberFormat="1" applyFont="1" applyFill="1" applyBorder="1" applyAlignment="1">
      <alignment horizontal="center"/>
    </xf>
    <xf numFmtId="164" fontId="3" fillId="5" borderId="5" xfId="0" applyNumberFormat="1" applyFont="1" applyFill="1" applyBorder="1" applyAlignment="1">
      <alignment horizontal="center"/>
    </xf>
    <xf numFmtId="165" fontId="2" fillId="4" borderId="6" xfId="1" applyNumberFormat="1" applyFont="1" applyFill="1" applyBorder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6" xfId="0" applyFont="1" applyFill="1" applyBorder="1" applyAlignment="1">
      <alignment horizontal="right"/>
    </xf>
    <xf numFmtId="171" fontId="2" fillId="4" borderId="6" xfId="0" applyNumberFormat="1" applyFont="1" applyFill="1" applyBorder="1" applyAlignment="1">
      <alignment horizontal="right"/>
    </xf>
    <xf numFmtId="171" fontId="2" fillId="4" borderId="9" xfId="0" applyNumberFormat="1" applyFont="1" applyFill="1" applyBorder="1" applyAlignment="1">
      <alignment horizontal="right"/>
    </xf>
    <xf numFmtId="171" fontId="3" fillId="4" borderId="6" xfId="1" applyNumberFormat="1" applyFont="1" applyFill="1" applyBorder="1" applyAlignment="1">
      <alignment horizontal="right"/>
    </xf>
    <xf numFmtId="171" fontId="2" fillId="4" borderId="0" xfId="0" applyNumberFormat="1" applyFont="1" applyFill="1" applyAlignment="1">
      <alignment horizontal="right"/>
    </xf>
    <xf numFmtId="171" fontId="2" fillId="4" borderId="7" xfId="0" applyNumberFormat="1" applyFont="1" applyFill="1" applyBorder="1" applyAlignment="1">
      <alignment horizontal="right"/>
    </xf>
    <xf numFmtId="171" fontId="3" fillId="4" borderId="0" xfId="1" applyNumberFormat="1" applyFont="1" applyFill="1" applyAlignment="1">
      <alignment horizontal="right"/>
    </xf>
    <xf numFmtId="44" fontId="4" fillId="4" borderId="5" xfId="0" applyNumberFormat="1" applyFont="1" applyFill="1" applyBorder="1" applyAlignment="1">
      <alignment horizontal="centerContinuous" vertical="center"/>
    </xf>
    <xf numFmtId="172" fontId="3" fillId="4" borderId="0" xfId="1" applyNumberFormat="1" applyFont="1" applyFill="1" applyAlignment="1">
      <alignment horizontal="center"/>
    </xf>
    <xf numFmtId="173" fontId="2" fillId="4" borderId="0" xfId="0" applyNumberFormat="1" applyFont="1" applyFill="1" applyAlignment="1">
      <alignment horizontal="center"/>
    </xf>
    <xf numFmtId="173" fontId="3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vertical="center"/>
    </xf>
    <xf numFmtId="44" fontId="10" fillId="6" borderId="6" xfId="0" applyNumberFormat="1" applyFont="1" applyFill="1" applyBorder="1" applyAlignment="1">
      <alignment horizontal="centerContinuous" vertical="center"/>
    </xf>
    <xf numFmtId="0" fontId="2" fillId="6" borderId="0" xfId="0" applyFont="1" applyFill="1" applyAlignment="1">
      <alignment horizontal="centerContinuous" vertical="center"/>
    </xf>
    <xf numFmtId="0" fontId="2" fillId="6" borderId="6" xfId="0" applyFont="1" applyFill="1" applyBorder="1" applyAlignment="1">
      <alignment horizontal="centerContinuous" vertical="center"/>
    </xf>
    <xf numFmtId="165" fontId="3" fillId="5" borderId="0" xfId="1" applyNumberFormat="1" applyFont="1" applyFill="1" applyAlignment="1">
      <alignment horizontal="center"/>
    </xf>
    <xf numFmtId="173" fontId="2" fillId="4" borderId="7" xfId="0" applyNumberFormat="1" applyFont="1" applyFill="1" applyBorder="1" applyAlignment="1">
      <alignment horizontal="center"/>
    </xf>
    <xf numFmtId="174" fontId="3" fillId="4" borderId="0" xfId="1" applyNumberFormat="1" applyFont="1" applyFill="1" applyBorder="1" applyAlignment="1">
      <alignment horizontal="center"/>
    </xf>
    <xf numFmtId="171" fontId="11" fillId="4" borderId="6" xfId="0" applyNumberFormat="1" applyFont="1" applyFill="1" applyBorder="1" applyAlignment="1">
      <alignment horizontal="right"/>
    </xf>
    <xf numFmtId="175" fontId="11" fillId="4" borderId="0" xfId="0" applyNumberFormat="1" applyFont="1" applyFill="1" applyAlignment="1">
      <alignment horizontal="right"/>
    </xf>
    <xf numFmtId="171" fontId="11" fillId="4" borderId="9" xfId="0" applyNumberFormat="1" applyFont="1" applyFill="1" applyBorder="1" applyAlignment="1">
      <alignment horizontal="right"/>
    </xf>
    <xf numFmtId="175" fontId="11" fillId="4" borderId="7" xfId="0" applyNumberFormat="1" applyFont="1" applyFill="1" applyBorder="1" applyAlignment="1">
      <alignment horizontal="right"/>
    </xf>
    <xf numFmtId="175" fontId="12" fillId="4" borderId="6" xfId="1" applyNumberFormat="1" applyFont="1" applyFill="1" applyBorder="1" applyAlignment="1">
      <alignment horizontal="right"/>
    </xf>
    <xf numFmtId="175" fontId="12" fillId="4" borderId="0" xfId="1" applyNumberFormat="1" applyFont="1" applyFill="1" applyAlignment="1">
      <alignment horizontal="right"/>
    </xf>
    <xf numFmtId="165" fontId="11" fillId="4" borderId="6" xfId="1" applyNumberFormat="1" applyFont="1" applyFill="1" applyBorder="1" applyAlignment="1">
      <alignment horizontal="right"/>
    </xf>
    <xf numFmtId="0" fontId="11" fillId="4" borderId="0" xfId="0" applyFont="1" applyFill="1" applyAlignment="1">
      <alignment horizontal="right"/>
    </xf>
    <xf numFmtId="44" fontId="13" fillId="4" borderId="6" xfId="0" applyNumberFormat="1" applyFont="1" applyFill="1" applyBorder="1" applyAlignment="1">
      <alignment horizontal="centerContinuous" vertical="center"/>
    </xf>
    <xf numFmtId="166" fontId="7" fillId="4" borderId="0" xfId="0" applyNumberFormat="1" applyFont="1" applyFill="1" applyAlignment="1">
      <alignment horizontal="center"/>
    </xf>
    <xf numFmtId="0" fontId="7" fillId="6" borderId="6" xfId="0" applyFont="1" applyFill="1" applyBorder="1" applyAlignment="1">
      <alignment horizontal="centerContinuous" vertical="center"/>
    </xf>
    <xf numFmtId="0" fontId="7" fillId="6" borderId="0" xfId="0" applyFont="1" applyFill="1" applyAlignment="1">
      <alignment horizontal="centerContinuous" vertical="center"/>
    </xf>
    <xf numFmtId="44" fontId="13" fillId="4" borderId="6" xfId="0" applyNumberFormat="1" applyFont="1" applyFill="1" applyBorder="1" applyAlignment="1">
      <alignment horizontal="center"/>
    </xf>
    <xf numFmtId="171" fontId="7" fillId="4" borderId="6" xfId="0" applyNumberFormat="1" applyFont="1" applyFill="1" applyBorder="1" applyAlignment="1">
      <alignment horizontal="right"/>
    </xf>
    <xf numFmtId="175" fontId="7" fillId="4" borderId="0" xfId="0" applyNumberFormat="1" applyFont="1" applyFill="1" applyAlignment="1">
      <alignment horizontal="right"/>
    </xf>
    <xf numFmtId="170" fontId="9" fillId="4" borderId="0" xfId="1" applyNumberFormat="1" applyFont="1" applyFill="1" applyBorder="1" applyAlignment="1">
      <alignment horizontal="center"/>
    </xf>
    <xf numFmtId="166" fontId="3" fillId="4" borderId="0" xfId="1" applyNumberFormat="1" applyFont="1" applyFill="1" applyAlignment="1">
      <alignment horizontal="center"/>
    </xf>
    <xf numFmtId="176" fontId="3" fillId="4" borderId="0" xfId="1" applyNumberFormat="1" applyFont="1" applyFill="1" applyAlignment="1">
      <alignment horizontal="center"/>
    </xf>
    <xf numFmtId="166" fontId="2" fillId="4" borderId="13" xfId="0" applyNumberFormat="1" applyFont="1" applyFill="1" applyBorder="1" applyAlignment="1">
      <alignment horizontal="center"/>
    </xf>
    <xf numFmtId="171" fontId="3" fillId="4" borderId="0" xfId="1" applyNumberFormat="1" applyFont="1" applyFill="1" applyBorder="1" applyAlignment="1">
      <alignment horizontal="right"/>
    </xf>
    <xf numFmtId="166" fontId="4" fillId="4" borderId="5" xfId="0" applyNumberFormat="1" applyFont="1" applyFill="1" applyBorder="1" applyAlignment="1">
      <alignment horizontal="center"/>
    </xf>
    <xf numFmtId="0" fontId="2" fillId="4" borderId="5" xfId="0" applyFont="1" applyFill="1" applyBorder="1"/>
    <xf numFmtId="166" fontId="2" fillId="4" borderId="5" xfId="0" applyNumberFormat="1" applyFont="1" applyFill="1" applyBorder="1" applyAlignment="1">
      <alignment horizontal="center"/>
    </xf>
    <xf numFmtId="166" fontId="2" fillId="4" borderId="16" xfId="0" applyNumberFormat="1" applyFont="1" applyFill="1" applyBorder="1" applyAlignment="1">
      <alignment horizontal="center"/>
    </xf>
    <xf numFmtId="166" fontId="3" fillId="4" borderId="5" xfId="1" applyNumberFormat="1" applyFont="1" applyFill="1" applyBorder="1" applyAlignment="1">
      <alignment horizontal="center"/>
    </xf>
    <xf numFmtId="166" fontId="2" fillId="4" borderId="5" xfId="0" applyNumberFormat="1" applyFont="1" applyFill="1" applyBorder="1"/>
    <xf numFmtId="170" fontId="7" fillId="4" borderId="0" xfId="1" applyNumberFormat="1" applyFont="1" applyFill="1" applyBorder="1" applyAlignment="1">
      <alignment horizontal="center"/>
    </xf>
    <xf numFmtId="170" fontId="7" fillId="4" borderId="0" xfId="0" applyNumberFormat="1" applyFont="1" applyFill="1"/>
    <xf numFmtId="170" fontId="2" fillId="4" borderId="0" xfId="1" applyNumberFormat="1" applyFont="1" applyFill="1" applyBorder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8" fontId="3" fillId="7" borderId="0" xfId="1" applyNumberFormat="1" applyFont="1" applyFill="1" applyBorder="1" applyAlignment="1">
      <alignment horizontal="center"/>
    </xf>
    <xf numFmtId="170" fontId="9" fillId="7" borderId="0" xfId="1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5" fontId="2" fillId="4" borderId="0" xfId="1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166" fontId="4" fillId="4" borderId="0" xfId="0" applyNumberFormat="1" applyFont="1" applyFill="1" applyAlignment="1">
      <alignment horizontal="center" vertical="center"/>
    </xf>
    <xf numFmtId="167" fontId="2" fillId="4" borderId="0" xfId="0" applyNumberFormat="1" applyFont="1" applyFill="1" applyAlignment="1">
      <alignment horizontal="center" vertical="center"/>
    </xf>
    <xf numFmtId="9" fontId="2" fillId="4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vertical="center"/>
    </xf>
    <xf numFmtId="0" fontId="3" fillId="4" borderId="15" xfId="0" applyFont="1" applyFill="1" applyBorder="1" applyAlignment="1">
      <alignment horizontal="center" vertical="center"/>
    </xf>
    <xf numFmtId="167" fontId="3" fillId="4" borderId="0" xfId="0" applyNumberFormat="1" applyFont="1" applyFill="1" applyAlignment="1">
      <alignment horizontal="center" vertical="center"/>
    </xf>
    <xf numFmtId="167" fontId="3" fillId="4" borderId="3" xfId="0" applyNumberFormat="1" applyFont="1" applyFill="1" applyBorder="1" applyAlignment="1">
      <alignment horizontal="center" vertical="center"/>
    </xf>
    <xf numFmtId="166" fontId="4" fillId="4" borderId="0" xfId="0" applyNumberFormat="1" applyFont="1" applyFill="1" applyAlignment="1">
      <alignment horizontal="centerContinuous" vertical="center"/>
    </xf>
    <xf numFmtId="0" fontId="5" fillId="4" borderId="0" xfId="0" applyFont="1" applyFill="1" applyAlignment="1">
      <alignment vertical="center"/>
    </xf>
    <xf numFmtId="170" fontId="2" fillId="4" borderId="0" xfId="0" applyNumberFormat="1" applyFont="1" applyFill="1" applyAlignment="1">
      <alignment horizontal="center" vertical="center"/>
    </xf>
    <xf numFmtId="168" fontId="2" fillId="4" borderId="0" xfId="0" applyNumberFormat="1" applyFont="1" applyFill="1" applyAlignment="1">
      <alignment horizontal="center" vertical="center"/>
    </xf>
    <xf numFmtId="44" fontId="4" fillId="4" borderId="0" xfId="0" applyNumberFormat="1" applyFont="1" applyFill="1" applyAlignment="1">
      <alignment horizontal="center" vertical="center"/>
    </xf>
    <xf numFmtId="169" fontId="2" fillId="4" borderId="0" xfId="0" applyNumberFormat="1" applyFont="1" applyFill="1" applyAlignment="1">
      <alignment vertical="center"/>
    </xf>
    <xf numFmtId="10" fontId="2" fillId="4" borderId="0" xfId="0" applyNumberFormat="1" applyFont="1" applyFill="1" applyAlignment="1">
      <alignment horizontal="center" vertical="center"/>
    </xf>
    <xf numFmtId="0" fontId="2" fillId="4" borderId="15" xfId="0" applyFont="1" applyFill="1" applyBorder="1" applyAlignment="1">
      <alignment vertical="center"/>
    </xf>
    <xf numFmtId="7" fontId="3" fillId="4" borderId="15" xfId="0" applyNumberFormat="1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vertical="center"/>
    </xf>
    <xf numFmtId="0" fontId="3" fillId="4" borderId="21" xfId="0" applyFont="1" applyFill="1" applyBorder="1"/>
    <xf numFmtId="0" fontId="2" fillId="4" borderId="22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15" xfId="0" applyFont="1" applyFill="1" applyBorder="1"/>
    <xf numFmtId="0" fontId="2" fillId="4" borderId="14" xfId="0" applyFont="1" applyFill="1" applyBorder="1" applyAlignment="1">
      <alignment horizontal="center"/>
    </xf>
    <xf numFmtId="0" fontId="14" fillId="8" borderId="23" xfId="0" applyFont="1" applyFill="1" applyBorder="1" applyAlignment="1">
      <alignment horizontal="center"/>
    </xf>
    <xf numFmtId="44" fontId="2" fillId="4" borderId="6" xfId="0" applyNumberFormat="1" applyFont="1" applyFill="1" applyBorder="1"/>
    <xf numFmtId="44" fontId="2" fillId="4" borderId="24" xfId="0" applyNumberFormat="1" applyFont="1" applyFill="1" applyBorder="1"/>
    <xf numFmtId="44" fontId="2" fillId="4" borderId="0" xfId="0" applyNumberFormat="1" applyFont="1" applyFill="1" applyAlignment="1">
      <alignment vertical="center"/>
    </xf>
    <xf numFmtId="44" fontId="17" fillId="3" borderId="0" xfId="0" applyNumberFormat="1" applyFont="1" applyFill="1" applyAlignment="1">
      <alignment horizontal="centerContinuous" vertical="center"/>
    </xf>
    <xf numFmtId="44" fontId="17" fillId="8" borderId="0" xfId="0" applyNumberFormat="1" applyFont="1" applyFill="1" applyAlignment="1">
      <alignment horizontal="centerContinuous" vertical="center"/>
    </xf>
    <xf numFmtId="44" fontId="19" fillId="2" borderId="0" xfId="0" applyNumberFormat="1" applyFont="1" applyFill="1" applyAlignment="1">
      <alignment horizontal="centerContinuous" vertical="center"/>
    </xf>
    <xf numFmtId="44" fontId="4" fillId="4" borderId="0" xfId="0" applyNumberFormat="1" applyFont="1" applyFill="1" applyAlignment="1">
      <alignment vertical="center"/>
    </xf>
    <xf numFmtId="164" fontId="3" fillId="4" borderId="7" xfId="0" applyNumberFormat="1" applyFont="1" applyFill="1" applyBorder="1" applyAlignment="1">
      <alignment horizontal="center"/>
    </xf>
    <xf numFmtId="165" fontId="3" fillId="4" borderId="7" xfId="1" applyNumberFormat="1" applyFont="1" applyFill="1" applyBorder="1" applyAlignment="1">
      <alignment horizontal="center"/>
    </xf>
    <xf numFmtId="168" fontId="3" fillId="4" borderId="7" xfId="1" applyNumberFormat="1" applyFont="1" applyFill="1" applyBorder="1" applyAlignment="1">
      <alignment horizontal="center"/>
    </xf>
    <xf numFmtId="170" fontId="9" fillId="4" borderId="7" xfId="1" applyNumberFormat="1" applyFont="1" applyFill="1" applyBorder="1" applyAlignment="1">
      <alignment horizontal="center"/>
    </xf>
    <xf numFmtId="170" fontId="3" fillId="4" borderId="7" xfId="1" applyNumberFormat="1" applyFont="1" applyFill="1" applyBorder="1" applyAlignment="1">
      <alignment horizontal="center"/>
    </xf>
    <xf numFmtId="167" fontId="3" fillId="4" borderId="7" xfId="1" applyNumberFormat="1" applyFont="1" applyFill="1" applyBorder="1" applyAlignment="1">
      <alignment horizontal="center"/>
    </xf>
    <xf numFmtId="168" fontId="20" fillId="4" borderId="0" xfId="0" applyNumberFormat="1" applyFont="1" applyFill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169" fontId="2" fillId="4" borderId="7" xfId="0" applyNumberFormat="1" applyFont="1" applyFill="1" applyBorder="1" applyAlignment="1">
      <alignment vertical="center"/>
    </xf>
    <xf numFmtId="166" fontId="15" fillId="4" borderId="10" xfId="0" applyNumberFormat="1" applyFont="1" applyFill="1" applyBorder="1" applyAlignment="1">
      <alignment horizontal="center" vertical="center"/>
    </xf>
    <xf numFmtId="166" fontId="15" fillId="4" borderId="11" xfId="0" applyNumberFormat="1" applyFont="1" applyFill="1" applyBorder="1" applyAlignment="1">
      <alignment horizontal="center" vertical="center"/>
    </xf>
    <xf numFmtId="166" fontId="15" fillId="4" borderId="12" xfId="0" applyNumberFormat="1" applyFont="1" applyFill="1" applyBorder="1" applyAlignment="1">
      <alignment horizontal="center" vertical="center"/>
    </xf>
    <xf numFmtId="166" fontId="16" fillId="4" borderId="12" xfId="0" applyNumberFormat="1" applyFont="1" applyFill="1" applyBorder="1" applyAlignment="1">
      <alignment horizontal="center" vertical="center"/>
    </xf>
    <xf numFmtId="44" fontId="18" fillId="8" borderId="0" xfId="0" applyNumberFormat="1" applyFont="1" applyFill="1" applyAlignment="1">
      <alignment horizontal="centerContinuous" vertical="center"/>
    </xf>
    <xf numFmtId="44" fontId="4" fillId="8" borderId="6" xfId="0" applyNumberFormat="1" applyFont="1" applyFill="1" applyBorder="1" applyAlignment="1">
      <alignment horizontal="centerContinuous" vertical="center"/>
    </xf>
    <xf numFmtId="166" fontId="4" fillId="4" borderId="6" xfId="0" applyNumberFormat="1" applyFont="1" applyFill="1" applyBorder="1" applyAlignment="1">
      <alignment horizontal="center" vertical="center"/>
    </xf>
    <xf numFmtId="168" fontId="3" fillId="4" borderId="6" xfId="1" applyNumberFormat="1" applyFont="1" applyFill="1" applyBorder="1" applyAlignment="1">
      <alignment horizontal="center" vertical="center"/>
    </xf>
    <xf numFmtId="168" fontId="3" fillId="4" borderId="0" xfId="1" applyNumberFormat="1" applyFont="1" applyFill="1" applyAlignment="1">
      <alignment horizontal="center" vertical="center"/>
    </xf>
    <xf numFmtId="44" fontId="18" fillId="3" borderId="0" xfId="0" applyNumberFormat="1" applyFont="1" applyFill="1" applyAlignment="1">
      <alignment horizontal="centerContinuous" vertical="center"/>
    </xf>
    <xf numFmtId="44" fontId="4" fillId="3" borderId="6" xfId="0" applyNumberFormat="1" applyFont="1" applyFill="1" applyBorder="1" applyAlignment="1">
      <alignment horizontal="centerContinuous" vertical="center"/>
    </xf>
    <xf numFmtId="44" fontId="18" fillId="2" borderId="0" xfId="0" applyNumberFormat="1" applyFont="1" applyFill="1" applyAlignment="1">
      <alignment horizontal="centerContinuous" vertical="center"/>
    </xf>
    <xf numFmtId="44" fontId="18" fillId="2" borderId="6" xfId="0" applyNumberFormat="1" applyFont="1" applyFill="1" applyBorder="1" applyAlignment="1">
      <alignment horizontal="centerContinuous" vertical="center"/>
    </xf>
    <xf numFmtId="0" fontId="3" fillId="7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4" borderId="25" xfId="0" applyFont="1" applyFill="1" applyBorder="1" applyAlignment="1">
      <alignment horizontal="centerContinuous" vertical="center"/>
    </xf>
    <xf numFmtId="0" fontId="3" fillId="4" borderId="1" xfId="0" applyFont="1" applyFill="1" applyBorder="1" applyAlignment="1">
      <alignment horizontal="centerContinuous" vertical="center"/>
    </xf>
    <xf numFmtId="164" fontId="15" fillId="4" borderId="17" xfId="0" applyNumberFormat="1" applyFont="1" applyFill="1" applyBorder="1" applyAlignment="1">
      <alignment horizontal="center" vertical="center"/>
    </xf>
    <xf numFmtId="10" fontId="8" fillId="4" borderId="26" xfId="0" applyNumberFormat="1" applyFont="1" applyFill="1" applyBorder="1" applyAlignment="1">
      <alignment vertical="center"/>
    </xf>
    <xf numFmtId="10" fontId="8" fillId="4" borderId="27" xfId="0" applyNumberFormat="1" applyFont="1" applyFill="1" applyBorder="1" applyAlignment="1">
      <alignment vertical="center"/>
    </xf>
    <xf numFmtId="9" fontId="8" fillId="4" borderId="17" xfId="0" applyNumberFormat="1" applyFont="1" applyFill="1" applyBorder="1" applyAlignment="1">
      <alignment vertical="center"/>
    </xf>
    <xf numFmtId="44" fontId="3" fillId="4" borderId="0" xfId="0" applyNumberFormat="1" applyFont="1" applyFill="1" applyAlignment="1">
      <alignment horizontal="left" vertical="center"/>
    </xf>
    <xf numFmtId="44" fontId="4" fillId="4" borderId="5" xfId="0" applyNumberFormat="1" applyFont="1" applyFill="1" applyBorder="1" applyAlignment="1">
      <alignment horizontal="center" vertical="center"/>
    </xf>
    <xf numFmtId="166" fontId="4" fillId="4" borderId="5" xfId="0" applyNumberFormat="1" applyFont="1" applyFill="1" applyBorder="1" applyAlignment="1">
      <alignment horizontal="center" vertical="center"/>
    </xf>
    <xf numFmtId="44" fontId="21" fillId="4" borderId="2" xfId="0" applyNumberFormat="1" applyFont="1" applyFill="1" applyBorder="1" applyAlignment="1">
      <alignment horizontal="centerContinuous" vertical="center"/>
    </xf>
    <xf numFmtId="44" fontId="21" fillId="4" borderId="4" xfId="0" applyNumberFormat="1" applyFont="1" applyFill="1" applyBorder="1" applyAlignment="1">
      <alignment horizontal="centerContinuous"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10" fontId="8" fillId="4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78" fontId="3" fillId="4" borderId="0" xfId="0" applyNumberFormat="1" applyFont="1" applyFill="1" applyAlignment="1">
      <alignment horizontal="center" vertical="center"/>
    </xf>
    <xf numFmtId="0" fontId="3" fillId="4" borderId="18" xfId="0" applyFont="1" applyFill="1" applyBorder="1" applyAlignment="1">
      <alignment vertical="center"/>
    </xf>
    <xf numFmtId="10" fontId="3" fillId="4" borderId="19" xfId="0" applyNumberFormat="1" applyFont="1" applyFill="1" applyBorder="1" applyAlignment="1">
      <alignment horizontal="center" vertical="center"/>
    </xf>
    <xf numFmtId="10" fontId="2" fillId="4" borderId="0" xfId="0" applyNumberFormat="1" applyFont="1" applyFill="1" applyAlignment="1">
      <alignment vertical="center"/>
    </xf>
    <xf numFmtId="168" fontId="20" fillId="4" borderId="6" xfId="0" applyNumberFormat="1" applyFont="1" applyFill="1" applyBorder="1" applyAlignment="1">
      <alignment horizontal="center" vertical="center"/>
    </xf>
    <xf numFmtId="168" fontId="20" fillId="4" borderId="9" xfId="0" applyNumberFormat="1" applyFont="1" applyFill="1" applyBorder="1" applyAlignment="1">
      <alignment horizontal="center" vertical="center"/>
    </xf>
    <xf numFmtId="168" fontId="20" fillId="4" borderId="7" xfId="0" applyNumberFormat="1" applyFont="1" applyFill="1" applyBorder="1" applyAlignment="1">
      <alignment horizontal="center" vertical="center"/>
    </xf>
    <xf numFmtId="177" fontId="15" fillId="4" borderId="19" xfId="0" applyNumberFormat="1" applyFont="1" applyFill="1" applyBorder="1" applyAlignment="1">
      <alignment horizontal="center" vertical="center"/>
    </xf>
    <xf numFmtId="169" fontId="3" fillId="4" borderId="15" xfId="0" applyNumberFormat="1" applyFont="1" applyFill="1" applyBorder="1" applyAlignment="1">
      <alignment horizontal="center" vertical="center"/>
    </xf>
    <xf numFmtId="171" fontId="3" fillId="4" borderId="6" xfId="0" applyNumberFormat="1" applyFont="1" applyFill="1" applyBorder="1" applyAlignment="1">
      <alignment horizontal="right"/>
    </xf>
    <xf numFmtId="171" fontId="3" fillId="4" borderId="0" xfId="0" applyNumberFormat="1" applyFont="1" applyFill="1" applyAlignment="1">
      <alignment horizontal="right"/>
    </xf>
    <xf numFmtId="164" fontId="6" fillId="4" borderId="0" xfId="0" applyNumberFormat="1" applyFont="1" applyFill="1" applyAlignment="1">
      <alignment horizontal="center" vertical="center"/>
    </xf>
    <xf numFmtId="44" fontId="4" fillId="4" borderId="0" xfId="0" applyNumberFormat="1" applyFont="1" applyFill="1" applyBorder="1" applyAlignment="1">
      <alignment horizontal="centerContinuous" vertical="center"/>
    </xf>
    <xf numFmtId="166" fontId="4" fillId="4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A6C9EC"/>
      <color rgb="FF0000CF"/>
      <color rgb="FFFF5014"/>
      <color rgb="FFFF7874"/>
      <color rgb="FFF3E3CF"/>
      <color rgb="FFF6E8DB"/>
      <color rgb="FFECD9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9464-030C-D745-91B9-76EA69912946}">
  <dimension ref="B1:AN67"/>
  <sheetViews>
    <sheetView showGridLines="0" tabSelected="1" zoomScale="75" zoomScaleNormal="84" workbookViewId="0">
      <selection activeCell="T30" sqref="T30:T31"/>
    </sheetView>
  </sheetViews>
  <sheetFormatPr baseColWidth="10" defaultRowHeight="17" outlineLevelCol="1"/>
  <cols>
    <col min="1" max="1" width="4.1640625" style="1" customWidth="1"/>
    <col min="2" max="2" width="16.1640625" style="1" customWidth="1"/>
    <col min="3" max="3" width="9.1640625" style="1" customWidth="1"/>
    <col min="4" max="4" width="7.6640625" style="1" customWidth="1"/>
    <col min="5" max="5" width="11.83203125" style="1" customWidth="1"/>
    <col min="6" max="6" width="12.83203125" style="1" customWidth="1"/>
    <col min="7" max="7" width="9" style="1" customWidth="1"/>
    <col min="8" max="8" width="5.83203125" style="1" customWidth="1"/>
    <col min="9" max="9" width="6.6640625" style="1" customWidth="1"/>
    <col min="10" max="11" width="7.83203125" style="1" customWidth="1"/>
    <col min="12" max="13" width="7.83203125" style="17" customWidth="1"/>
    <col min="14" max="14" width="9" style="17" customWidth="1"/>
    <col min="15" max="15" width="7.83203125" style="17" customWidth="1"/>
    <col min="16" max="16" width="5.83203125" style="1" customWidth="1"/>
    <col min="17" max="17" width="6.6640625" style="1" customWidth="1"/>
    <col min="18" max="19" width="7.83203125" style="1" customWidth="1"/>
    <col min="20" max="20" width="5.83203125" style="1" customWidth="1"/>
    <col min="21" max="21" width="7.6640625" style="1" customWidth="1"/>
    <col min="22" max="22" width="8.83203125" style="1" customWidth="1"/>
    <col min="23" max="23" width="8.33203125" style="1" customWidth="1"/>
    <col min="24" max="25" width="10.83203125" style="1" customWidth="1"/>
    <col min="26" max="27" width="7" style="1" customWidth="1"/>
    <col min="28" max="28" width="8.83203125" style="1" customWidth="1"/>
    <col min="29" max="29" width="6.33203125" style="1" customWidth="1"/>
    <col min="30" max="30" width="2.83203125" style="1" customWidth="1"/>
    <col min="31" max="31" width="10.83203125" style="1" hidden="1" customWidth="1" outlineLevel="1"/>
    <col min="32" max="33" width="20" style="1" hidden="1" customWidth="1" outlineLevel="1"/>
    <col min="34" max="36" width="10.83203125" style="1" hidden="1" customWidth="1" outlineLevel="1"/>
    <col min="37" max="37" width="6.83203125" style="1" hidden="1" customWidth="1" outlineLevel="1"/>
    <col min="38" max="38" width="8.83203125" style="1" hidden="1" customWidth="1" outlineLevel="1"/>
    <col min="39" max="39" width="6.83203125" style="1" hidden="1" customWidth="1" outlineLevel="1"/>
    <col min="40" max="40" width="20" style="1" customWidth="1" collapsed="1"/>
    <col min="41" max="41" width="10.83203125" style="1"/>
    <col min="42" max="42" width="19.83203125" style="1" customWidth="1"/>
    <col min="43" max="16384" width="10.83203125" style="1"/>
  </cols>
  <sheetData>
    <row r="1" spans="2:39">
      <c r="T1" s="1" t="s">
        <v>34</v>
      </c>
    </row>
    <row r="2" spans="2:39" ht="18" thickBot="1">
      <c r="B2" s="137" t="str">
        <f>"Fund Case Toggle — "&amp;CHOOSE(E2,B3,B4,B5)</f>
        <v>Fund Case Toggle — 10x DPI Case</v>
      </c>
      <c r="C2" s="138"/>
      <c r="D2" s="138"/>
      <c r="E2" s="142">
        <v>1</v>
      </c>
      <c r="F2" s="59"/>
      <c r="L2" s="87"/>
      <c r="M2" s="87"/>
      <c r="N2" s="87"/>
      <c r="O2" s="87"/>
      <c r="P2" s="87"/>
      <c r="Q2" s="87"/>
      <c r="R2" s="87"/>
      <c r="S2" s="87"/>
      <c r="T2" s="2"/>
      <c r="U2" s="2"/>
      <c r="V2" s="2"/>
      <c r="W2" s="2"/>
    </row>
    <row r="3" spans="2:39">
      <c r="B3" s="143" t="str">
        <f>S33</f>
        <v>10x DPI Case</v>
      </c>
      <c r="E3" s="139">
        <v>1</v>
      </c>
      <c r="F3" s="59"/>
      <c r="L3" s="87"/>
      <c r="M3" s="87"/>
      <c r="N3" s="87"/>
      <c r="O3" s="87"/>
      <c r="P3" s="87"/>
      <c r="Q3" s="87"/>
      <c r="R3" s="87"/>
      <c r="S3" s="87"/>
      <c r="T3" s="2"/>
      <c r="U3" s="2"/>
      <c r="V3" s="2"/>
      <c r="W3" s="2"/>
    </row>
    <row r="4" spans="2:39">
      <c r="B4" s="143" t="str">
        <f>S39</f>
        <v>3x DPI Case</v>
      </c>
      <c r="E4" s="139">
        <v>2</v>
      </c>
      <c r="AG4" s="107" t="s">
        <v>68</v>
      </c>
      <c r="AH4" s="107"/>
      <c r="AI4" s="107"/>
      <c r="AJ4" s="108"/>
      <c r="AK4" s="108"/>
      <c r="AL4" s="108"/>
      <c r="AM4" s="108"/>
    </row>
    <row r="5" spans="2:39">
      <c r="B5" s="144" t="str">
        <f>S45</f>
        <v>[Case 3]</v>
      </c>
      <c r="C5" s="140"/>
      <c r="D5" s="140"/>
      <c r="E5" s="141">
        <v>3</v>
      </c>
    </row>
    <row r="7" spans="2:39" s="25" customFormat="1" ht="17" customHeight="1">
      <c r="B7" s="71" t="s">
        <v>29</v>
      </c>
      <c r="D7" s="26" t="s">
        <v>17</v>
      </c>
      <c r="E7" s="27"/>
      <c r="F7" s="26" t="s">
        <v>1</v>
      </c>
      <c r="H7" s="72" t="s">
        <v>32</v>
      </c>
      <c r="I7" s="73"/>
      <c r="J7" s="73"/>
      <c r="K7" s="73"/>
      <c r="L7" s="88"/>
      <c r="M7" s="89"/>
      <c r="N7" s="89"/>
      <c r="O7" s="89"/>
      <c r="P7" s="74"/>
      <c r="Q7" s="73"/>
      <c r="R7" s="73"/>
      <c r="S7" s="73"/>
      <c r="T7" s="74"/>
      <c r="U7" s="73"/>
      <c r="V7" s="73"/>
      <c r="W7" s="73"/>
      <c r="X7" s="48" t="s">
        <v>11</v>
      </c>
      <c r="Y7" s="49"/>
      <c r="Z7" s="49"/>
      <c r="AA7" s="49"/>
      <c r="AB7" s="49"/>
      <c r="AC7" s="49"/>
      <c r="AG7" s="71" t="s">
        <v>29</v>
      </c>
      <c r="AH7" s="49" t="s">
        <v>11</v>
      </c>
      <c r="AI7" s="49"/>
      <c r="AJ7" s="49"/>
      <c r="AK7" s="49"/>
      <c r="AL7" s="49"/>
      <c r="AM7" s="49"/>
    </row>
    <row r="8" spans="2:39" s="25" customFormat="1" ht="17" customHeight="1">
      <c r="C8" s="26" t="s">
        <v>14</v>
      </c>
      <c r="D8" s="26" t="s">
        <v>14</v>
      </c>
      <c r="E8" s="27" t="s">
        <v>15</v>
      </c>
      <c r="F8" s="26" t="s">
        <v>5</v>
      </c>
      <c r="G8" s="26" t="s">
        <v>4</v>
      </c>
      <c r="H8" s="28" t="s">
        <v>30</v>
      </c>
      <c r="I8" s="29"/>
      <c r="J8" s="29"/>
      <c r="K8" s="29"/>
      <c r="L8" s="28" t="s">
        <v>35</v>
      </c>
      <c r="M8" s="29"/>
      <c r="N8" s="29"/>
      <c r="O8" s="67"/>
      <c r="P8" s="86" t="s">
        <v>31</v>
      </c>
      <c r="Q8" s="29"/>
      <c r="R8" s="29"/>
      <c r="S8" s="29"/>
      <c r="T8" s="28" t="s">
        <v>43</v>
      </c>
      <c r="U8" s="29"/>
      <c r="V8" s="29"/>
      <c r="W8" s="67"/>
      <c r="X8" s="26" t="s">
        <v>15</v>
      </c>
      <c r="Y8" s="26" t="s">
        <v>15</v>
      </c>
      <c r="Z8" s="27" t="s">
        <v>27</v>
      </c>
      <c r="AA8" s="26" t="s">
        <v>48</v>
      </c>
      <c r="AB8" s="26" t="s">
        <v>36</v>
      </c>
      <c r="AC8" s="26" t="s">
        <v>38</v>
      </c>
      <c r="AE8" s="26" t="s">
        <v>7</v>
      </c>
      <c r="AH8" s="26" t="s">
        <v>15</v>
      </c>
      <c r="AI8" s="26" t="s">
        <v>15</v>
      </c>
      <c r="AJ8" s="27" t="s">
        <v>27</v>
      </c>
      <c r="AK8" s="26" t="s">
        <v>27</v>
      </c>
      <c r="AL8" s="26" t="s">
        <v>36</v>
      </c>
      <c r="AM8" s="26" t="s">
        <v>38</v>
      </c>
    </row>
    <row r="9" spans="2:39" s="25" customFormat="1" ht="20">
      <c r="B9" s="181"/>
      <c r="C9" s="131" t="s">
        <v>6</v>
      </c>
      <c r="D9" s="131" t="s">
        <v>0</v>
      </c>
      <c r="E9" s="182" t="s">
        <v>3</v>
      </c>
      <c r="F9" s="131" t="s">
        <v>2</v>
      </c>
      <c r="G9" s="131" t="s">
        <v>19</v>
      </c>
      <c r="H9" s="165" t="str">
        <f>TEXT($I$33,"0.0x")</f>
        <v>0.0x</v>
      </c>
      <c r="I9" s="117" t="str">
        <f>TEXT($J$33,"0.0x")</f>
        <v>20.0x</v>
      </c>
      <c r="J9" s="117" t="str">
        <f>TEXT($K$33,"0.0x")</f>
        <v>250.0x</v>
      </c>
      <c r="K9" s="117" t="str">
        <f>TEXT($L$33,"0.0x")</f>
        <v>600.0x</v>
      </c>
      <c r="L9" s="165" t="str">
        <f>TEXT($I$33,"0.0x")</f>
        <v>0.0x</v>
      </c>
      <c r="M9" s="117" t="str">
        <f>TEXT($J$33,"0.0x")</f>
        <v>20.0x</v>
      </c>
      <c r="N9" s="117" t="str">
        <f>TEXT($K$33,"0.0x")</f>
        <v>250.0x</v>
      </c>
      <c r="O9" s="117" t="str">
        <f>TEXT($L$33,"0.0x")</f>
        <v>600.0x</v>
      </c>
      <c r="P9" s="165" t="str">
        <f>TEXT($I$33,"0.0x")</f>
        <v>0.0x</v>
      </c>
      <c r="Q9" s="117" t="str">
        <f>TEXT($J$33,"0.0x")</f>
        <v>20.0x</v>
      </c>
      <c r="R9" s="117" t="str">
        <f>TEXT($K$33,"0.0x")</f>
        <v>250.0x</v>
      </c>
      <c r="S9" s="117" t="str">
        <f>TEXT($L$33,"0.0x")</f>
        <v>600.0x</v>
      </c>
      <c r="T9" s="165" t="str">
        <f>TEXT($I$33,"0.0x")</f>
        <v>0.0x</v>
      </c>
      <c r="U9" s="117" t="str">
        <f>TEXT($J$33,"0.0x")</f>
        <v>20.0x</v>
      </c>
      <c r="V9" s="117" t="str">
        <f>TEXT($K$33,"0.0x")</f>
        <v>250.0x</v>
      </c>
      <c r="W9" s="117" t="str">
        <f>TEXT($L$33,"0.0x")</f>
        <v>600.0x</v>
      </c>
      <c r="X9" s="165" t="s">
        <v>3</v>
      </c>
      <c r="Y9" s="117" t="s">
        <v>12</v>
      </c>
      <c r="Z9" s="183" t="s">
        <v>18</v>
      </c>
      <c r="AA9" s="117" t="s">
        <v>39</v>
      </c>
      <c r="AB9" s="117" t="s">
        <v>37</v>
      </c>
      <c r="AC9" s="117" t="s">
        <v>39</v>
      </c>
      <c r="AE9" s="117" t="s">
        <v>10</v>
      </c>
      <c r="AG9" s="1"/>
      <c r="AH9" s="7" t="s">
        <v>3</v>
      </c>
      <c r="AI9" s="7" t="s">
        <v>12</v>
      </c>
      <c r="AJ9" s="98" t="s">
        <v>18</v>
      </c>
      <c r="AK9" s="7" t="s">
        <v>39</v>
      </c>
      <c r="AL9" s="7" t="s">
        <v>37</v>
      </c>
      <c r="AM9" s="7" t="s">
        <v>39</v>
      </c>
    </row>
    <row r="10" spans="2:39" ht="5" customHeight="1">
      <c r="B10" s="5"/>
      <c r="C10" s="6"/>
      <c r="D10" s="6"/>
      <c r="E10" s="18"/>
      <c r="F10" s="6"/>
      <c r="G10" s="6"/>
      <c r="H10" s="21"/>
      <c r="L10" s="90"/>
      <c r="P10" s="21"/>
      <c r="T10" s="21"/>
      <c r="X10" s="19"/>
      <c r="Z10" s="99"/>
      <c r="AJ10" s="99"/>
    </row>
    <row r="11" spans="2:39" ht="17" customHeight="1">
      <c r="B11" s="51" t="s">
        <v>21</v>
      </c>
      <c r="C11" s="6"/>
      <c r="D11" s="6"/>
      <c r="E11" s="18"/>
      <c r="F11" s="6"/>
      <c r="G11" s="6"/>
      <c r="H11" s="21"/>
      <c r="L11" s="90"/>
      <c r="P11" s="21"/>
      <c r="T11" s="21"/>
      <c r="X11" s="19"/>
      <c r="Y11" s="3"/>
      <c r="Z11" s="99"/>
      <c r="AG11" s="51" t="s">
        <v>21</v>
      </c>
      <c r="AI11" s="3"/>
      <c r="AJ11" s="99"/>
    </row>
    <row r="12" spans="2:39">
      <c r="B12" s="1" t="s">
        <v>23</v>
      </c>
      <c r="C12" s="10">
        <v>17</v>
      </c>
      <c r="D12" s="69">
        <v>0.5</v>
      </c>
      <c r="E12" s="38">
        <f>C12*D12</f>
        <v>8.5</v>
      </c>
      <c r="F12" s="8">
        <v>12</v>
      </c>
      <c r="G12" s="9">
        <f>D12/F12</f>
        <v>4.1666666666666664E-2</v>
      </c>
      <c r="H12" s="22">
        <f>CHOOSE($E$2,U34,U40,U46)</f>
        <v>15</v>
      </c>
      <c r="I12" s="10">
        <f t="shared" ref="I12:K12" si="0">CHOOSE($E$2,V34,V40,V46)</f>
        <v>1</v>
      </c>
      <c r="J12" s="10">
        <f t="shared" si="0"/>
        <v>0</v>
      </c>
      <c r="K12" s="10">
        <f t="shared" si="0"/>
        <v>1</v>
      </c>
      <c r="L12" s="78">
        <f>IF(H12=0,0,$F12*I$33)</f>
        <v>0</v>
      </c>
      <c r="M12" s="79">
        <f>IF(I12=0,0,$F12*J$33)</f>
        <v>240</v>
      </c>
      <c r="N12" s="79">
        <f>IF(J12=0,0,$F12*K$33)</f>
        <v>0</v>
      </c>
      <c r="O12" s="79">
        <f>IF(K12=0,0,$F12*L$33)</f>
        <v>7200</v>
      </c>
      <c r="P12" s="40">
        <f>H42</f>
        <v>0</v>
      </c>
      <c r="Q12" s="41">
        <f>I42</f>
        <v>0.27750000000000008</v>
      </c>
      <c r="R12" s="41">
        <f>J42</f>
        <v>0.55629468750000011</v>
      </c>
      <c r="S12" s="41">
        <f>K42</f>
        <v>0.62285048437500012</v>
      </c>
      <c r="T12" s="61">
        <f>$D12*H12*I$33*(1-P12)</f>
        <v>0</v>
      </c>
      <c r="U12" s="64">
        <f>$D12*I12*J$33*(1-Q12)</f>
        <v>7.2249999999999996</v>
      </c>
      <c r="V12" s="64">
        <f>$D12*J12*K$33*(1-R12)</f>
        <v>0</v>
      </c>
      <c r="W12" s="64">
        <f>$D12*K12*L$33*(1-S12)</f>
        <v>113.14485468749996</v>
      </c>
      <c r="X12" s="61">
        <f>E12</f>
        <v>8.5</v>
      </c>
      <c r="Y12" s="64">
        <f>SUM(T12:W12)</f>
        <v>120.36985468749995</v>
      </c>
      <c r="Z12" s="100"/>
      <c r="AA12" s="2"/>
      <c r="AB12" s="2"/>
      <c r="AC12" s="2"/>
      <c r="AE12" s="10">
        <f>SUM(H12:K12)-C12</f>
        <v>0</v>
      </c>
      <c r="AG12" s="1" t="s">
        <v>23</v>
      </c>
      <c r="AH12" s="64">
        <f t="shared" ref="AH12:AI15" si="1">X12</f>
        <v>8.5</v>
      </c>
      <c r="AI12" s="64">
        <f t="shared" si="1"/>
        <v>120.36985468749995</v>
      </c>
      <c r="AJ12" s="100">
        <f>AI12/AH12</f>
        <v>14.161159374999995</v>
      </c>
      <c r="AK12" s="2">
        <f>Z12</f>
        <v>0</v>
      </c>
      <c r="AL12" s="2"/>
      <c r="AM12" s="2"/>
    </row>
    <row r="13" spans="2:39">
      <c r="B13" s="1" t="s">
        <v>22</v>
      </c>
      <c r="C13" s="10">
        <v>10</v>
      </c>
      <c r="D13" s="69">
        <v>1</v>
      </c>
      <c r="E13" s="38">
        <f>C13*D13</f>
        <v>10</v>
      </c>
      <c r="F13" s="8">
        <v>30</v>
      </c>
      <c r="G13" s="11">
        <f>D13/F13</f>
        <v>3.3333333333333333E-2</v>
      </c>
      <c r="H13" s="22">
        <f t="shared" ref="H13:K14" si="2">CHOOSE($E$2,U35,U41,U47)</f>
        <v>8</v>
      </c>
      <c r="I13" s="10">
        <f t="shared" si="2"/>
        <v>1</v>
      </c>
      <c r="J13" s="10">
        <f t="shared" si="2"/>
        <v>1</v>
      </c>
      <c r="K13" s="10">
        <f t="shared" si="2"/>
        <v>0</v>
      </c>
      <c r="L13" s="78">
        <f>IF(H13=0,0,$F13*I$33)</f>
        <v>0</v>
      </c>
      <c r="M13" s="79">
        <f>IF(I13=0,0,$F13*J$33)</f>
        <v>600</v>
      </c>
      <c r="N13" s="79">
        <f>IF(J13=0,0,$F13*K$33)</f>
        <v>7500</v>
      </c>
      <c r="O13" s="79">
        <f>IF(K13=0,0,$F13*L$33)</f>
        <v>0</v>
      </c>
      <c r="P13" s="40">
        <f>H43</f>
        <v>0</v>
      </c>
      <c r="Q13" s="41">
        <f>I43</f>
        <v>0.27750000000000008</v>
      </c>
      <c r="R13" s="41">
        <f>J43</f>
        <v>0.55629468750000011</v>
      </c>
      <c r="S13" s="41">
        <f>K43</f>
        <v>0.62285048437500012</v>
      </c>
      <c r="T13" s="61">
        <f>$D13*H13*I$33*(1-P13)</f>
        <v>0</v>
      </c>
      <c r="U13" s="64">
        <f>$D13*I13*J$33*(1-Q13)</f>
        <v>14.45</v>
      </c>
      <c r="V13" s="64">
        <f>$D13*J13*K$33*(1-R13)</f>
        <v>110.92632812499997</v>
      </c>
      <c r="W13" s="64">
        <f>$D13*K13*L$33*(1-S13)</f>
        <v>0</v>
      </c>
      <c r="X13" s="61">
        <f>E13</f>
        <v>10</v>
      </c>
      <c r="Y13" s="64">
        <f t="shared" ref="Y13:Y14" si="3">SUM(T13:W13)</f>
        <v>125.37632812499997</v>
      </c>
      <c r="Z13" s="100"/>
      <c r="AA13" s="2"/>
      <c r="AB13" s="2"/>
      <c r="AC13" s="2"/>
      <c r="AE13" s="10">
        <f>SUM(H13:K13)-C13</f>
        <v>0</v>
      </c>
      <c r="AG13" s="1" t="s">
        <v>22</v>
      </c>
      <c r="AH13" s="64">
        <f t="shared" si="1"/>
        <v>10</v>
      </c>
      <c r="AI13" s="64">
        <f t="shared" si="1"/>
        <v>125.37632812499997</v>
      </c>
      <c r="AJ13" s="100">
        <f>AI13/AH13</f>
        <v>12.537632812499997</v>
      </c>
      <c r="AK13" s="2">
        <f>Z13</f>
        <v>0</v>
      </c>
      <c r="AL13" s="2"/>
      <c r="AM13" s="2"/>
    </row>
    <row r="14" spans="2:39" ht="18" thickBot="1">
      <c r="B14" s="31" t="s">
        <v>24</v>
      </c>
      <c r="C14" s="32">
        <v>6</v>
      </c>
      <c r="D14" s="76">
        <v>1</v>
      </c>
      <c r="E14" s="39">
        <f t="shared" ref="E14" si="4">C14*D14</f>
        <v>6</v>
      </c>
      <c r="F14" s="33">
        <v>80</v>
      </c>
      <c r="G14" s="34">
        <f>D14/F14</f>
        <v>1.2500000000000001E-2</v>
      </c>
      <c r="H14" s="35">
        <f t="shared" si="2"/>
        <v>5</v>
      </c>
      <c r="I14" s="36">
        <f t="shared" ref="I14:K14" si="5">CHOOSE($E$2,V36,V42,V48)</f>
        <v>0</v>
      </c>
      <c r="J14" s="36">
        <f t="shared" si="5"/>
        <v>1</v>
      </c>
      <c r="K14" s="36">
        <f t="shared" si="5"/>
        <v>0</v>
      </c>
      <c r="L14" s="80">
        <f>IF(H14=0,0,$F14*I$33)</f>
        <v>0</v>
      </c>
      <c r="M14" s="81">
        <f>IF(I14=0,0,$F14*J$33)</f>
        <v>0</v>
      </c>
      <c r="N14" s="81">
        <f>IF(J14=0,0,$F14*K$33)</f>
        <v>20000</v>
      </c>
      <c r="O14" s="81">
        <f>IF(K14=0,0,$F14*L$33)</f>
        <v>0</v>
      </c>
      <c r="P14" s="42">
        <f>H44</f>
        <v>0</v>
      </c>
      <c r="Q14" s="43">
        <f>I44</f>
        <v>0.15000000000000002</v>
      </c>
      <c r="R14" s="43">
        <f>J44</f>
        <v>0.47799375000000011</v>
      </c>
      <c r="S14" s="43">
        <f>K44</f>
        <v>0.55629468750000011</v>
      </c>
      <c r="T14" s="62">
        <f>$D14*H14*I$33*(1-P14)</f>
        <v>0</v>
      </c>
      <c r="U14" s="65">
        <f>$D14*I14*J$33*(1-Q14)</f>
        <v>0</v>
      </c>
      <c r="V14" s="65">
        <f>$D14*J14*K$33*(1-R14)</f>
        <v>130.50156249999998</v>
      </c>
      <c r="W14" s="65">
        <f>$D14*K14*L$33*(1-S14)</f>
        <v>0</v>
      </c>
      <c r="X14" s="62">
        <f>E14</f>
        <v>6</v>
      </c>
      <c r="Y14" s="65">
        <f t="shared" si="3"/>
        <v>130.50156249999998</v>
      </c>
      <c r="Z14" s="101"/>
      <c r="AA14" s="96"/>
      <c r="AB14" s="96"/>
      <c r="AC14" s="96"/>
      <c r="AE14" s="10">
        <f>SUM(H14:K14)-C14</f>
        <v>0</v>
      </c>
      <c r="AG14" s="31" t="s">
        <v>24</v>
      </c>
      <c r="AH14" s="65">
        <f t="shared" si="1"/>
        <v>6</v>
      </c>
      <c r="AI14" s="65">
        <f t="shared" si="1"/>
        <v>130.50156249999998</v>
      </c>
      <c r="AJ14" s="101">
        <f>AI14/AH14</f>
        <v>21.750260416666663</v>
      </c>
      <c r="AK14" s="96">
        <f>Z14</f>
        <v>0</v>
      </c>
      <c r="AL14" s="96"/>
      <c r="AM14" s="96"/>
    </row>
    <row r="15" spans="2:39">
      <c r="B15" s="12" t="s">
        <v>13</v>
      </c>
      <c r="C15" s="4">
        <f>SUM(C12:C14)</f>
        <v>33</v>
      </c>
      <c r="D15" s="70">
        <f>E15/C15</f>
        <v>0.74242424242424243</v>
      </c>
      <c r="E15" s="57">
        <f>SUM(E12:E14)</f>
        <v>24.5</v>
      </c>
      <c r="F15" s="13"/>
      <c r="G15" s="75">
        <f>SUMPRODUCT(G12:G14,$C12:$C14)/SUM($C12:$C14)</f>
        <v>3.3838383838383834E-2</v>
      </c>
      <c r="H15" s="23">
        <f>SUM(H12:H14)</f>
        <v>28</v>
      </c>
      <c r="I15" s="15">
        <f>SUM(I12:I14)</f>
        <v>2</v>
      </c>
      <c r="J15" s="15">
        <f>SUM(J12:J14)</f>
        <v>2</v>
      </c>
      <c r="K15" s="15">
        <f>SUM(K12:K14)</f>
        <v>1</v>
      </c>
      <c r="L15" s="82"/>
      <c r="M15" s="83"/>
      <c r="N15" s="83"/>
      <c r="O15" s="83"/>
      <c r="P15" s="44"/>
      <c r="Q15" s="45"/>
      <c r="R15" s="45"/>
      <c r="S15" s="45"/>
      <c r="T15" s="63">
        <f t="shared" ref="T15:Y15" si="6">SUM(T12:T14)</f>
        <v>0</v>
      </c>
      <c r="U15" s="66">
        <f t="shared" si="6"/>
        <v>21.674999999999997</v>
      </c>
      <c r="V15" s="66">
        <f t="shared" si="6"/>
        <v>241.42789062499995</v>
      </c>
      <c r="W15" s="66">
        <f t="shared" si="6"/>
        <v>113.14485468749996</v>
      </c>
      <c r="X15" s="63">
        <f t="shared" si="6"/>
        <v>24.5</v>
      </c>
      <c r="Y15" s="66">
        <f t="shared" si="6"/>
        <v>376.24774531249989</v>
      </c>
      <c r="Z15" s="102">
        <f t="shared" ref="Z15:Z21" si="7">Y15/X15</f>
        <v>15.357050829081627</v>
      </c>
      <c r="AA15" s="94">
        <f>Y15/$D$31</f>
        <v>12.541591510416662</v>
      </c>
      <c r="AB15" s="95">
        <f>-E42/D31</f>
        <v>-2.492318302083333</v>
      </c>
      <c r="AC15" s="50">
        <f>AA15+AB15</f>
        <v>10.049273208333329</v>
      </c>
      <c r="AE15" s="10"/>
      <c r="AG15" s="12" t="s">
        <v>13</v>
      </c>
      <c r="AH15" s="97">
        <f t="shared" si="1"/>
        <v>24.5</v>
      </c>
      <c r="AI15" s="66">
        <f t="shared" si="1"/>
        <v>376.24774531249989</v>
      </c>
      <c r="AJ15" s="102">
        <f>AI15/AH15</f>
        <v>15.357050829081627</v>
      </c>
      <c r="AK15" s="94">
        <f>AI15/$D$31</f>
        <v>12.541591510416662</v>
      </c>
      <c r="AL15" s="95">
        <f>AB15</f>
        <v>-2.492318302083333</v>
      </c>
      <c r="AM15" s="50">
        <f>AC15</f>
        <v>10.049273208333329</v>
      </c>
    </row>
    <row r="16" spans="2:39">
      <c r="C16" s="3"/>
      <c r="D16" s="8"/>
      <c r="E16" s="38"/>
      <c r="F16" s="8"/>
      <c r="G16" s="9"/>
      <c r="H16" s="24"/>
      <c r="J16" s="68"/>
      <c r="L16" s="84"/>
      <c r="M16" s="85"/>
      <c r="N16" s="85"/>
      <c r="O16" s="85"/>
      <c r="P16" s="46"/>
      <c r="Q16" s="47"/>
      <c r="R16" s="47"/>
      <c r="S16" s="47"/>
      <c r="T16" s="58"/>
      <c r="U16" s="59"/>
      <c r="V16" s="59"/>
      <c r="W16" s="59"/>
      <c r="X16" s="60"/>
      <c r="Y16" s="59"/>
      <c r="Z16" s="103"/>
      <c r="AA16" s="16"/>
      <c r="AB16" s="16"/>
      <c r="AC16" s="16"/>
      <c r="AE16" s="10"/>
      <c r="AH16" s="59"/>
      <c r="AI16" s="59"/>
      <c r="AJ16" s="103"/>
      <c r="AK16" s="16"/>
      <c r="AL16" s="16"/>
      <c r="AM16" s="16"/>
    </row>
    <row r="17" spans="2:39" ht="17" customHeight="1">
      <c r="B17" s="51" t="s">
        <v>9</v>
      </c>
      <c r="C17" s="3"/>
      <c r="D17" s="8"/>
      <c r="E17" s="38"/>
      <c r="F17" s="8"/>
      <c r="G17" s="9"/>
      <c r="H17" s="20" t="str">
        <f>TEXT($I$34,"0.0x")</f>
        <v>0.0x</v>
      </c>
      <c r="I17" s="7" t="str">
        <f>TEXT($J$34,"0.0x")</f>
        <v>3.0x</v>
      </c>
      <c r="J17" s="7" t="str">
        <f>TEXT($K$34,"0.0x")</f>
        <v>10.0x</v>
      </c>
      <c r="K17" s="7" t="str">
        <f>TEXT($L$34,"0.0x")</f>
        <v>100.0x</v>
      </c>
      <c r="L17" s="20" t="str">
        <f>TEXT($I$34,"0.0x")</f>
        <v>0.0x</v>
      </c>
      <c r="M17" s="7" t="str">
        <f>TEXT($J$34,"0.0x")</f>
        <v>3.0x</v>
      </c>
      <c r="N17" s="7" t="str">
        <f>TEXT($K$34,"0.0x")</f>
        <v>10.0x</v>
      </c>
      <c r="O17" s="7" t="str">
        <f>TEXT($L$34,"0.0x")</f>
        <v>100.0x</v>
      </c>
      <c r="P17" s="20" t="str">
        <f>TEXT($I$34,"0.0x")</f>
        <v>0.0x</v>
      </c>
      <c r="Q17" s="7" t="str">
        <f>TEXT($J$34,"0.0x")</f>
        <v>3.0x</v>
      </c>
      <c r="R17" s="7" t="str">
        <f>TEXT($K$34,"0.0x")</f>
        <v>10.0x</v>
      </c>
      <c r="S17" s="7" t="str">
        <f>TEXT($L$34,"0.0x")</f>
        <v>100.0x</v>
      </c>
      <c r="T17" s="20" t="str">
        <f>TEXT($I$34,"0.0x")</f>
        <v>0.0x</v>
      </c>
      <c r="U17" s="7" t="str">
        <f>TEXT($J$34,"0.0x")</f>
        <v>3.0x</v>
      </c>
      <c r="V17" s="7" t="str">
        <f>TEXT($K$34,"0.0x")</f>
        <v>10.0x</v>
      </c>
      <c r="W17" s="7" t="str">
        <f>TEXT($L$34,"0.0x")</f>
        <v>100.0x</v>
      </c>
      <c r="X17" s="60"/>
      <c r="Y17" s="59"/>
      <c r="Z17" s="103"/>
      <c r="AA17" s="16"/>
      <c r="AB17" s="16"/>
      <c r="AC17" s="16"/>
      <c r="AE17" s="10"/>
      <c r="AG17" s="51" t="s">
        <v>9</v>
      </c>
      <c r="AH17" s="59"/>
      <c r="AI17" s="59"/>
      <c r="AJ17" s="103"/>
      <c r="AK17" s="16"/>
      <c r="AL17" s="16"/>
      <c r="AM17" s="16"/>
    </row>
    <row r="18" spans="2:39">
      <c r="B18" s="1" t="s">
        <v>24</v>
      </c>
      <c r="C18" s="3">
        <v>10</v>
      </c>
      <c r="D18" s="8">
        <f>4*(1-$D$49)</f>
        <v>3.92</v>
      </c>
      <c r="E18" s="38">
        <f>C18*D18</f>
        <v>39.200000000000003</v>
      </c>
      <c r="F18" s="8">
        <v>80</v>
      </c>
      <c r="G18" s="9">
        <f>D18/F18</f>
        <v>4.9000000000000002E-2</v>
      </c>
      <c r="H18" s="22">
        <f>U54</f>
        <v>6</v>
      </c>
      <c r="I18" s="10">
        <f t="shared" ref="I18:K18" si="8">V54</f>
        <v>2</v>
      </c>
      <c r="J18" s="10">
        <f t="shared" si="8"/>
        <v>1</v>
      </c>
      <c r="K18" s="10">
        <f t="shared" si="8"/>
        <v>1</v>
      </c>
      <c r="L18" s="78">
        <f>IF(H18=0,0,$F18*I$34)</f>
        <v>0</v>
      </c>
      <c r="M18" s="79">
        <f>IF(I18=0,0,$F18*J$34)</f>
        <v>240</v>
      </c>
      <c r="N18" s="79">
        <f>IF(J18=0,0,$F18*K$34)</f>
        <v>800</v>
      </c>
      <c r="O18" s="79">
        <f>IF(K18=0,0,$F18*L$34)</f>
        <v>8000</v>
      </c>
      <c r="P18" s="40">
        <f>H48</f>
        <v>0</v>
      </c>
      <c r="Q18" s="41">
        <f>I48</f>
        <v>0.15000000000000002</v>
      </c>
      <c r="R18" s="41">
        <f>J48</f>
        <v>0.47799375000000011</v>
      </c>
      <c r="S18" s="41">
        <f>K48</f>
        <v>0.55629468750000011</v>
      </c>
      <c r="T18" s="61">
        <f>IFERROR($D18*H18*I$34*(1-P18),0)</f>
        <v>0</v>
      </c>
      <c r="U18" s="64">
        <f>IFERROR($D18*I18*J$34*(1-Q18),0)</f>
        <v>19.992000000000001</v>
      </c>
      <c r="V18" s="64">
        <f>IFERROR($D18*J18*K$34*(1-R18),0)</f>
        <v>20.462644999999998</v>
      </c>
      <c r="W18" s="64">
        <f>IFERROR($D18*K18*L$34*(1-S18),0)</f>
        <v>173.93248249999996</v>
      </c>
      <c r="X18" s="61">
        <f>E18</f>
        <v>39.200000000000003</v>
      </c>
      <c r="Y18" s="64">
        <f t="shared" ref="Y18:Y19" si="9">SUM(T18:W18)</f>
        <v>214.38712749999996</v>
      </c>
      <c r="Z18" s="100"/>
      <c r="AA18" s="2"/>
      <c r="AB18" s="2"/>
      <c r="AC18" s="2"/>
      <c r="AE18" s="10">
        <f>SUM(H18:K18)-C18</f>
        <v>0</v>
      </c>
      <c r="AG18" s="1" t="s">
        <v>24</v>
      </c>
      <c r="AH18" s="64">
        <f t="shared" ref="AH18:AI21" si="10">X18</f>
        <v>39.200000000000003</v>
      </c>
      <c r="AI18" s="64">
        <f t="shared" si="10"/>
        <v>214.38712749999996</v>
      </c>
      <c r="AJ18" s="100"/>
      <c r="AK18" s="2"/>
      <c r="AL18" s="2"/>
      <c r="AM18" s="2"/>
    </row>
    <row r="19" spans="2:39">
      <c r="B19" s="1" t="s">
        <v>25</v>
      </c>
      <c r="C19" s="3">
        <v>8</v>
      </c>
      <c r="D19" s="8">
        <f>5*(1-$D$49)</f>
        <v>4.9000000000000004</v>
      </c>
      <c r="E19" s="38">
        <f t="shared" ref="E19:E20" si="11">C19*D19</f>
        <v>39.200000000000003</v>
      </c>
      <c r="F19" s="8">
        <v>500</v>
      </c>
      <c r="G19" s="9">
        <f>D19/F19</f>
        <v>9.8000000000000014E-3</v>
      </c>
      <c r="H19" s="22">
        <f t="shared" ref="H19:K19" si="12">U55</f>
        <v>5</v>
      </c>
      <c r="I19" s="10">
        <f t="shared" si="12"/>
        <v>2</v>
      </c>
      <c r="J19" s="10">
        <f t="shared" si="12"/>
        <v>1</v>
      </c>
      <c r="K19" s="10">
        <f t="shared" si="12"/>
        <v>0</v>
      </c>
      <c r="L19" s="78">
        <f>IF(H19=0,0,$F19*I$34)</f>
        <v>0</v>
      </c>
      <c r="M19" s="79">
        <f>IF(I19=0,0,$F19*J$34)</f>
        <v>1500</v>
      </c>
      <c r="N19" s="79">
        <f>IF(J19=0,0,$F19*K$34)</f>
        <v>5000</v>
      </c>
      <c r="O19" s="79">
        <f>IF(K19=0,0,$F19*L$34)</f>
        <v>0</v>
      </c>
      <c r="P19" s="40">
        <f>H49</f>
        <v>0</v>
      </c>
      <c r="Q19" s="41">
        <f>I49</f>
        <v>0</v>
      </c>
      <c r="R19" s="41">
        <f>J49</f>
        <v>0.27750000000000008</v>
      </c>
      <c r="S19" s="41">
        <f>K49</f>
        <v>0.38587500000000008</v>
      </c>
      <c r="T19" s="61">
        <f>IFERROR($D19*H19*I$34*(1-P19),0)</f>
        <v>0</v>
      </c>
      <c r="U19" s="64">
        <f>IFERROR($D19*I19*J$34*(1-Q19),0)</f>
        <v>29.400000000000002</v>
      </c>
      <c r="V19" s="64">
        <f>IFERROR($D19*J19*K$34*(1-R19),0)</f>
        <v>35.402499999999996</v>
      </c>
      <c r="W19" s="64">
        <f>IFERROR($D19*K19*L$34*(1-S19),0)</f>
        <v>0</v>
      </c>
      <c r="X19" s="61">
        <f>E19</f>
        <v>39.200000000000003</v>
      </c>
      <c r="Y19" s="64">
        <f t="shared" si="9"/>
        <v>64.802499999999995</v>
      </c>
      <c r="Z19" s="100"/>
      <c r="AA19" s="2"/>
      <c r="AB19" s="2"/>
      <c r="AC19" s="2"/>
      <c r="AE19" s="10">
        <f>SUM(H19:K19)-C19</f>
        <v>0</v>
      </c>
      <c r="AG19" s="1" t="s">
        <v>25</v>
      </c>
      <c r="AH19" s="64">
        <f t="shared" si="10"/>
        <v>39.200000000000003</v>
      </c>
      <c r="AI19" s="64">
        <f t="shared" si="10"/>
        <v>64.802499999999995</v>
      </c>
      <c r="AJ19" s="100"/>
      <c r="AK19" s="2"/>
      <c r="AL19" s="2"/>
      <c r="AM19" s="2"/>
    </row>
    <row r="20" spans="2:39" ht="18" thickBot="1">
      <c r="B20" s="31" t="s">
        <v>26</v>
      </c>
      <c r="C20" s="32">
        <v>4</v>
      </c>
      <c r="D20" s="33">
        <f>5*(1-$D$49)</f>
        <v>4.9000000000000004</v>
      </c>
      <c r="E20" s="39">
        <f t="shared" si="11"/>
        <v>19.600000000000001</v>
      </c>
      <c r="F20" s="33">
        <v>1200</v>
      </c>
      <c r="G20" s="34">
        <f>D20/F20</f>
        <v>4.0833333333333338E-3</v>
      </c>
      <c r="H20" s="35">
        <f t="shared" ref="H20:K20" si="13">U56</f>
        <v>2</v>
      </c>
      <c r="I20" s="36">
        <f t="shared" si="13"/>
        <v>2</v>
      </c>
      <c r="J20" s="36">
        <f t="shared" si="13"/>
        <v>0</v>
      </c>
      <c r="K20" s="36">
        <f t="shared" si="13"/>
        <v>0</v>
      </c>
      <c r="L20" s="80">
        <f>IF(H20=0,0,$F20*I$34)</f>
        <v>0</v>
      </c>
      <c r="M20" s="81">
        <f>IF(I20=0,0,$F20*J$34)</f>
        <v>3600</v>
      </c>
      <c r="N20" s="81">
        <f>IF(J20=0,0,$F20*K$34)</f>
        <v>0</v>
      </c>
      <c r="O20" s="81">
        <f>IF(K20=0,0,$F20*L$34)</f>
        <v>0</v>
      </c>
      <c r="P20" s="42">
        <f>H50</f>
        <v>0</v>
      </c>
      <c r="Q20" s="43">
        <f>I50</f>
        <v>0</v>
      </c>
      <c r="R20" s="43">
        <f>J50</f>
        <v>0.27750000000000008</v>
      </c>
      <c r="S20" s="43">
        <f>K50</f>
        <v>0.38587500000000008</v>
      </c>
      <c r="T20" s="62">
        <f>IFERROR($D20*H20*I$34*(1-P20),0)</f>
        <v>0</v>
      </c>
      <c r="U20" s="65">
        <f>IFERROR($D20*I20*J$34*(1-Q20),0)</f>
        <v>29.400000000000002</v>
      </c>
      <c r="V20" s="65">
        <f>IFERROR($D20*J20*K$34*(1-R20),0)</f>
        <v>0</v>
      </c>
      <c r="W20" s="65">
        <f>IFERROR($D20*K20*L$34*(1-S20),0)</f>
        <v>0</v>
      </c>
      <c r="X20" s="62">
        <f>E20</f>
        <v>19.600000000000001</v>
      </c>
      <c r="Y20" s="65">
        <f t="shared" ref="Y20" si="14">SUM(T20:W20)</f>
        <v>29.400000000000002</v>
      </c>
      <c r="Z20" s="101"/>
      <c r="AA20" s="96"/>
      <c r="AB20" s="96"/>
      <c r="AC20" s="96"/>
      <c r="AE20" s="10">
        <f>SUM(H20:K20)-C20</f>
        <v>0</v>
      </c>
      <c r="AG20" s="31" t="s">
        <v>26</v>
      </c>
      <c r="AH20" s="65">
        <f t="shared" si="10"/>
        <v>19.600000000000001</v>
      </c>
      <c r="AI20" s="65">
        <f t="shared" si="10"/>
        <v>29.400000000000002</v>
      </c>
      <c r="AJ20" s="101"/>
      <c r="AK20" s="96"/>
      <c r="AL20" s="96"/>
      <c r="AM20" s="96"/>
    </row>
    <row r="21" spans="2:39">
      <c r="B21" s="12" t="s">
        <v>8</v>
      </c>
      <c r="C21" s="4">
        <f>SUM(C18:C20)</f>
        <v>22</v>
      </c>
      <c r="D21" s="13">
        <f>E21/C21</f>
        <v>4.4545454545454541</v>
      </c>
      <c r="E21" s="57">
        <f>SUM(E18:E20)</f>
        <v>98</v>
      </c>
      <c r="F21" s="13"/>
      <c r="G21" s="14">
        <f>SUMPRODUCT(G18:G20,$C18:$C20)/SUM($C18:$C20)</f>
        <v>2.6578787878787879E-2</v>
      </c>
      <c r="H21" s="23">
        <f>SUM(H18:H20)</f>
        <v>13</v>
      </c>
      <c r="I21" s="15">
        <f t="shared" ref="I21:K21" si="15">SUM(I18:I20)</f>
        <v>6</v>
      </c>
      <c r="J21" s="15">
        <f t="shared" si="15"/>
        <v>2</v>
      </c>
      <c r="K21" s="15">
        <f t="shared" si="15"/>
        <v>1</v>
      </c>
      <c r="L21" s="91"/>
      <c r="M21" s="92"/>
      <c r="N21" s="92"/>
      <c r="O21" s="92"/>
      <c r="P21" s="44"/>
      <c r="Q21" s="45"/>
      <c r="R21" s="45"/>
      <c r="S21" s="45"/>
      <c r="T21" s="200">
        <f t="shared" ref="T21:Y21" si="16">SUM(T18:T20)</f>
        <v>0</v>
      </c>
      <c r="U21" s="201">
        <f t="shared" si="16"/>
        <v>78.792000000000002</v>
      </c>
      <c r="V21" s="201">
        <f t="shared" si="16"/>
        <v>55.865144999999998</v>
      </c>
      <c r="W21" s="201">
        <f t="shared" si="16"/>
        <v>173.93248249999996</v>
      </c>
      <c r="X21" s="200">
        <f t="shared" si="16"/>
        <v>98</v>
      </c>
      <c r="Y21" s="201">
        <f t="shared" si="16"/>
        <v>308.58962749999995</v>
      </c>
      <c r="Z21" s="102">
        <f t="shared" si="7"/>
        <v>3.1488737499999995</v>
      </c>
      <c r="AA21" s="94">
        <f>Y21/D44</f>
        <v>3.0858962749999996</v>
      </c>
      <c r="AB21" s="95">
        <f>-E50/X21</f>
        <v>-0.21288737499999993</v>
      </c>
      <c r="AC21" s="50">
        <f>Z21+AB21</f>
        <v>2.9359863749999997</v>
      </c>
      <c r="AG21" s="12" t="s">
        <v>8</v>
      </c>
      <c r="AH21" s="64">
        <f t="shared" si="10"/>
        <v>98</v>
      </c>
      <c r="AI21" s="64">
        <f t="shared" si="10"/>
        <v>308.58962749999995</v>
      </c>
      <c r="AJ21" s="102">
        <f>AI21/AH21</f>
        <v>3.1488737499999995</v>
      </c>
      <c r="AK21" s="94">
        <f>Z21</f>
        <v>3.1488737499999995</v>
      </c>
      <c r="AL21" s="95">
        <f>AB21</f>
        <v>-0.21288737499999993</v>
      </c>
      <c r="AM21" s="50">
        <f>AC21</f>
        <v>2.9359863749999997</v>
      </c>
    </row>
    <row r="22" spans="2:39">
      <c r="B22" s="12"/>
      <c r="C22" s="4"/>
      <c r="D22" s="13"/>
      <c r="E22" s="13"/>
      <c r="F22" s="13"/>
      <c r="G22" s="52"/>
      <c r="H22" s="53"/>
      <c r="I22" s="53"/>
      <c r="J22" s="53"/>
      <c r="K22" s="53"/>
      <c r="L22" s="93"/>
      <c r="M22" s="93"/>
      <c r="N22" s="93"/>
      <c r="O22" s="93"/>
      <c r="P22" s="54"/>
      <c r="Q22" s="54"/>
      <c r="R22" s="54"/>
      <c r="S22" s="54"/>
      <c r="T22" s="55"/>
      <c r="U22" s="55"/>
      <c r="V22" s="55"/>
      <c r="W22" s="55"/>
      <c r="X22" s="55"/>
      <c r="Y22" s="55"/>
      <c r="Z22" s="56"/>
      <c r="AA22" s="56"/>
      <c r="AB22" s="56"/>
      <c r="AC22" s="56"/>
      <c r="AH22" s="55"/>
      <c r="AI22" s="55"/>
      <c r="AJ22" s="55"/>
      <c r="AK22" s="56"/>
      <c r="AL22" s="56"/>
      <c r="AM22" s="56"/>
    </row>
    <row r="23" spans="2:39">
      <c r="E23" s="13"/>
      <c r="F23" s="13"/>
      <c r="G23" s="52"/>
      <c r="H23" s="53"/>
      <c r="I23" s="53"/>
      <c r="J23" s="53"/>
      <c r="K23" s="53"/>
      <c r="L23" s="93"/>
      <c r="M23" s="93"/>
      <c r="N23" s="93"/>
      <c r="O23" s="93"/>
      <c r="P23" s="54"/>
      <c r="Q23" s="54"/>
      <c r="R23" s="54"/>
      <c r="S23" s="54"/>
      <c r="T23" s="55"/>
      <c r="U23" s="55"/>
      <c r="V23" s="55"/>
      <c r="W23" s="55"/>
      <c r="X23" s="55"/>
      <c r="Y23" s="55"/>
      <c r="Z23" s="2"/>
      <c r="AA23" s="2"/>
      <c r="AB23" s="2"/>
      <c r="AC23" s="2"/>
      <c r="AH23" s="55"/>
      <c r="AI23" s="55"/>
      <c r="AJ23" s="55"/>
      <c r="AK23" s="2"/>
      <c r="AL23" s="2"/>
      <c r="AM23" s="2"/>
    </row>
    <row r="24" spans="2:39" ht="18" thickBot="1">
      <c r="B24" s="31"/>
      <c r="C24" s="31"/>
      <c r="D24" s="31"/>
      <c r="E24" s="150"/>
      <c r="F24" s="150"/>
      <c r="G24" s="151"/>
      <c r="H24" s="152"/>
      <c r="I24" s="152"/>
      <c r="J24" s="152"/>
      <c r="K24" s="152"/>
      <c r="L24" s="153"/>
      <c r="M24" s="153"/>
      <c r="N24" s="153"/>
      <c r="O24" s="153"/>
      <c r="P24" s="154"/>
      <c r="Q24" s="154"/>
      <c r="R24" s="154"/>
      <c r="S24" s="154"/>
      <c r="T24" s="155"/>
      <c r="U24" s="155"/>
      <c r="V24" s="155"/>
      <c r="W24" s="155"/>
      <c r="X24" s="155"/>
      <c r="Y24" s="155"/>
      <c r="Z24" s="37"/>
      <c r="AA24" s="37"/>
      <c r="AB24" s="37"/>
      <c r="AC24" s="37"/>
      <c r="AH24" s="55"/>
      <c r="AI24" s="55"/>
      <c r="AJ24" s="55"/>
      <c r="AK24" s="2"/>
      <c r="AL24" s="2"/>
      <c r="AM24" s="2"/>
    </row>
    <row r="25" spans="2:39">
      <c r="E25" s="13"/>
      <c r="F25" s="13"/>
      <c r="G25" s="52"/>
      <c r="H25" s="53"/>
      <c r="I25" s="53"/>
      <c r="J25" s="53"/>
      <c r="K25" s="53"/>
      <c r="L25" s="93"/>
      <c r="M25" s="93"/>
      <c r="N25" s="93"/>
      <c r="O25" s="93"/>
      <c r="P25" s="54"/>
      <c r="Q25" s="54"/>
      <c r="R25" s="54"/>
      <c r="S25" s="54"/>
      <c r="T25" s="55"/>
      <c r="U25" s="55"/>
      <c r="V25" s="55"/>
      <c r="W25" s="55"/>
      <c r="X25" s="55"/>
      <c r="Y25" s="55"/>
      <c r="Z25" s="2"/>
      <c r="AA25" s="2"/>
      <c r="AB25" s="2"/>
      <c r="AC25" s="2"/>
      <c r="AH25" s="55"/>
      <c r="AI25" s="55"/>
      <c r="AJ25" s="55"/>
      <c r="AK25" s="2"/>
      <c r="AL25" s="2"/>
      <c r="AM25" s="2"/>
    </row>
    <row r="26" spans="2:39">
      <c r="E26" s="13"/>
      <c r="F26" s="13"/>
      <c r="G26" s="52"/>
      <c r="H26" s="53"/>
      <c r="I26" s="53"/>
      <c r="J26" s="53"/>
      <c r="K26" s="53"/>
      <c r="L26" s="93"/>
      <c r="M26" s="93"/>
      <c r="N26" s="93"/>
      <c r="O26" s="93"/>
      <c r="P26" s="54"/>
      <c r="Q26" s="54"/>
      <c r="R26" s="54"/>
      <c r="S26" s="54"/>
      <c r="T26" s="55"/>
      <c r="U26" s="55"/>
      <c r="V26" s="77"/>
      <c r="W26" s="55"/>
      <c r="X26" s="55"/>
      <c r="Y26" s="55"/>
      <c r="Z26" s="2"/>
      <c r="AA26" s="2"/>
      <c r="AB26" s="2"/>
      <c r="AC26" s="2"/>
      <c r="AH26" s="55"/>
      <c r="AI26" s="55"/>
      <c r="AJ26" s="55"/>
      <c r="AK26" s="2"/>
      <c r="AL26" s="2"/>
      <c r="AM26" s="2"/>
    </row>
    <row r="27" spans="2:39">
      <c r="E27" s="13"/>
      <c r="F27" s="13"/>
      <c r="G27" s="52"/>
      <c r="H27" s="53"/>
      <c r="I27" s="53"/>
      <c r="J27" s="53"/>
      <c r="K27" s="53"/>
      <c r="L27" s="93"/>
      <c r="M27" s="93"/>
      <c r="N27" s="93"/>
      <c r="O27" s="93"/>
      <c r="P27" s="54"/>
      <c r="Q27" s="54"/>
      <c r="R27" s="54"/>
      <c r="W27" s="55"/>
      <c r="X27" s="55"/>
      <c r="Y27" s="55"/>
      <c r="Z27" s="2"/>
      <c r="AA27" s="2"/>
      <c r="AB27" s="2"/>
      <c r="AC27" s="2"/>
      <c r="AH27" s="55"/>
      <c r="AI27" s="55"/>
      <c r="AJ27" s="55"/>
      <c r="AK27" s="2"/>
      <c r="AL27" s="2"/>
      <c r="AM27" s="2"/>
    </row>
    <row r="28" spans="2:39">
      <c r="B28" s="107" t="s">
        <v>60</v>
      </c>
      <c r="C28" s="108"/>
      <c r="D28" s="109"/>
      <c r="E28" s="109"/>
      <c r="G28" s="107" t="s">
        <v>69</v>
      </c>
      <c r="H28" s="107"/>
      <c r="I28" s="110"/>
      <c r="J28" s="110"/>
      <c r="K28" s="110"/>
      <c r="L28" s="110"/>
      <c r="M28" s="111"/>
      <c r="N28" s="111"/>
      <c r="O28" s="111"/>
      <c r="R28" s="54"/>
      <c r="S28" s="107" t="s">
        <v>57</v>
      </c>
      <c r="T28" s="107"/>
      <c r="U28" s="107"/>
      <c r="V28" s="108"/>
      <c r="W28" s="108"/>
      <c r="X28" s="108"/>
      <c r="Y28" s="108"/>
      <c r="Z28" s="2"/>
      <c r="AA28" s="2"/>
      <c r="AB28" s="2"/>
      <c r="AC28" s="2"/>
      <c r="AH28" s="55"/>
      <c r="AI28" s="55"/>
      <c r="AJ28" s="55"/>
      <c r="AK28" s="2"/>
      <c r="AL28" s="2"/>
      <c r="AM28" s="2"/>
    </row>
    <row r="29" spans="2:39" ht="5" customHeight="1">
      <c r="C29" s="3"/>
      <c r="D29" s="8"/>
      <c r="E29" s="8"/>
      <c r="F29" s="8"/>
      <c r="H29" s="11"/>
      <c r="I29" s="11"/>
      <c r="L29" s="1"/>
      <c r="M29" s="104"/>
      <c r="N29" s="105"/>
      <c r="O29" s="105"/>
      <c r="P29" s="105"/>
      <c r="R29" s="106"/>
      <c r="S29" s="47"/>
      <c r="T29" s="47"/>
      <c r="AH29" s="19"/>
    </row>
    <row r="30" spans="2:39" s="25" customFormat="1" ht="18" customHeight="1">
      <c r="C30" s="112"/>
      <c r="D30" s="113"/>
      <c r="F30" s="113"/>
      <c r="H30" s="114"/>
      <c r="M30" s="115"/>
      <c r="N30" s="115"/>
      <c r="O30" s="115"/>
      <c r="P30" s="115"/>
      <c r="T30" s="205"/>
      <c r="U30" s="203" t="s">
        <v>30</v>
      </c>
      <c r="V30" s="29"/>
      <c r="W30" s="29"/>
      <c r="X30" s="29"/>
      <c r="Y30" s="26" t="s">
        <v>7</v>
      </c>
    </row>
    <row r="31" spans="2:39" s="25" customFormat="1" ht="18" customHeight="1">
      <c r="B31" s="116" t="s">
        <v>33</v>
      </c>
      <c r="D31" s="177">
        <v>30</v>
      </c>
      <c r="E31" s="113"/>
      <c r="F31" s="113"/>
      <c r="G31" s="29" t="s">
        <v>71</v>
      </c>
      <c r="H31" s="29"/>
      <c r="I31" s="29"/>
      <c r="J31" s="29"/>
      <c r="K31" s="29"/>
      <c r="L31" s="29"/>
      <c r="T31" s="205"/>
      <c r="U31" s="204" t="str">
        <f>TEXT(I$33,"0.0x")</f>
        <v>0.0x</v>
      </c>
      <c r="V31" s="117" t="str">
        <f>TEXT(J$33,"0.0x")</f>
        <v>20.0x</v>
      </c>
      <c r="W31" s="117" t="str">
        <f>TEXT(K$33,"0.0x")</f>
        <v>250.0x</v>
      </c>
      <c r="X31" s="117" t="str">
        <f>TEXT(L$33,"0.0x")</f>
        <v>600.0x</v>
      </c>
      <c r="Y31" s="117" t="s">
        <v>10</v>
      </c>
      <c r="AH31" s="117"/>
      <c r="AI31" s="117"/>
      <c r="AJ31" s="117"/>
    </row>
    <row r="32" spans="2:39" s="25" customFormat="1" ht="18" customHeight="1" thickBot="1">
      <c r="B32" s="123" t="s">
        <v>47</v>
      </c>
      <c r="C32" s="134"/>
      <c r="D32" s="135">
        <f>-SUM(E39,E41)</f>
        <v>-6.9</v>
      </c>
      <c r="E32" s="113"/>
      <c r="F32" s="113"/>
      <c r="AH32" s="119"/>
      <c r="AI32" s="118"/>
      <c r="AJ32" s="118"/>
    </row>
    <row r="33" spans="2:39" s="25" customFormat="1" ht="18" customHeight="1" thickBot="1">
      <c r="B33" s="116" t="s">
        <v>45</v>
      </c>
      <c r="C33" s="26"/>
      <c r="D33" s="120">
        <f>SUM(D31:D32)</f>
        <v>23.1</v>
      </c>
      <c r="E33" s="113"/>
      <c r="F33" s="113"/>
      <c r="G33" s="174" t="s">
        <v>58</v>
      </c>
      <c r="I33" s="159">
        <v>0</v>
      </c>
      <c r="J33" s="160">
        <v>20</v>
      </c>
      <c r="K33" s="160">
        <v>250</v>
      </c>
      <c r="L33" s="161">
        <v>600</v>
      </c>
      <c r="S33" s="163" t="s">
        <v>54</v>
      </c>
      <c r="T33" s="147"/>
      <c r="U33" s="164"/>
      <c r="V33" s="147"/>
      <c r="W33" s="147"/>
      <c r="X33" s="147"/>
      <c r="AH33" s="121"/>
      <c r="AI33" s="122"/>
      <c r="AJ33" s="118"/>
    </row>
    <row r="34" spans="2:39" s="25" customFormat="1" ht="18" customHeight="1" thickBot="1">
      <c r="B34" s="123" t="s">
        <v>44</v>
      </c>
      <c r="C34" s="124"/>
      <c r="D34" s="177">
        <v>1.4</v>
      </c>
      <c r="E34" s="202" t="s">
        <v>10</v>
      </c>
      <c r="F34" s="113"/>
      <c r="G34" s="174" t="s">
        <v>59</v>
      </c>
      <c r="I34" s="159">
        <v>0</v>
      </c>
      <c r="J34" s="160">
        <v>3</v>
      </c>
      <c r="K34" s="160">
        <v>10</v>
      </c>
      <c r="L34" s="162">
        <v>100</v>
      </c>
      <c r="S34" s="25" t="s">
        <v>23</v>
      </c>
      <c r="U34" s="195">
        <v>15</v>
      </c>
      <c r="V34" s="156">
        <v>1</v>
      </c>
      <c r="W34" s="156">
        <v>0</v>
      </c>
      <c r="X34" s="156">
        <v>1</v>
      </c>
      <c r="Y34" s="130">
        <f>SUM(U34:X34)-C$12</f>
        <v>0</v>
      </c>
      <c r="AI34" s="126"/>
      <c r="AJ34" s="125"/>
    </row>
    <row r="35" spans="2:39" s="25" customFormat="1" ht="18" customHeight="1">
      <c r="B35" s="116" t="s">
        <v>46</v>
      </c>
      <c r="C35" s="26"/>
      <c r="D35" s="120">
        <f>SUM(D33:D34)</f>
        <v>24.5</v>
      </c>
      <c r="E35" s="10">
        <f>E15-D35</f>
        <v>0</v>
      </c>
      <c r="F35" s="113"/>
      <c r="S35" s="25" t="s">
        <v>22</v>
      </c>
      <c r="U35" s="195">
        <v>8</v>
      </c>
      <c r="V35" s="156">
        <v>1</v>
      </c>
      <c r="W35" s="156">
        <v>1</v>
      </c>
      <c r="X35" s="156">
        <v>0</v>
      </c>
      <c r="Y35" s="130">
        <f>SUM(U35:X35)-C$13</f>
        <v>0</v>
      </c>
    </row>
    <row r="36" spans="2:39" s="25" customFormat="1" ht="18" customHeight="1" thickBot="1">
      <c r="C36" s="112"/>
      <c r="D36" s="113"/>
      <c r="E36" s="113"/>
      <c r="F36" s="113"/>
      <c r="G36" s="29" t="s">
        <v>61</v>
      </c>
      <c r="H36" s="29"/>
      <c r="I36" s="29"/>
      <c r="J36" s="29"/>
      <c r="K36" s="29"/>
      <c r="L36" s="29"/>
      <c r="M36" s="29"/>
      <c r="N36" s="29"/>
      <c r="O36" s="29"/>
      <c r="S36" s="157" t="s">
        <v>24</v>
      </c>
      <c r="T36" s="157"/>
      <c r="U36" s="196">
        <v>5</v>
      </c>
      <c r="V36" s="197">
        <v>0</v>
      </c>
      <c r="W36" s="197">
        <v>1</v>
      </c>
      <c r="X36" s="197">
        <v>0</v>
      </c>
      <c r="Y36" s="130">
        <f>SUM(U36:X36)-C$14</f>
        <v>0</v>
      </c>
      <c r="Z36" s="127"/>
      <c r="AA36" s="127"/>
      <c r="AB36" s="127"/>
      <c r="AC36" s="127"/>
      <c r="AI36" s="127"/>
      <c r="AJ36" s="127"/>
      <c r="AK36" s="127"/>
      <c r="AL36" s="127"/>
      <c r="AM36" s="127"/>
    </row>
    <row r="37" spans="2:39" s="25" customFormat="1" ht="18" customHeight="1">
      <c r="B37" s="128" t="s">
        <v>64</v>
      </c>
      <c r="R37" s="128"/>
      <c r="S37" s="116" t="s">
        <v>16</v>
      </c>
      <c r="U37" s="166">
        <f>SUM(U34:U36)</f>
        <v>28</v>
      </c>
      <c r="V37" s="167">
        <f>SUM(V34:V36)</f>
        <v>2</v>
      </c>
      <c r="W37" s="167">
        <f>SUM(W34:W36)</f>
        <v>2</v>
      </c>
      <c r="X37" s="167">
        <f>SUM(X34:X36)</f>
        <v>1</v>
      </c>
      <c r="Z37" s="117"/>
      <c r="AA37" s="117"/>
      <c r="AB37" s="117"/>
      <c r="AC37" s="117"/>
      <c r="AH37" s="117"/>
      <c r="AI37" s="117"/>
      <c r="AJ37" s="117"/>
      <c r="AK37" s="117"/>
      <c r="AL37" s="117"/>
      <c r="AM37" s="117"/>
    </row>
    <row r="38" spans="2:39" s="25" customFormat="1" ht="18" customHeight="1">
      <c r="B38" s="25" t="s">
        <v>40</v>
      </c>
      <c r="D38" s="131" t="s">
        <v>49</v>
      </c>
      <c r="E38" s="131" t="s">
        <v>50</v>
      </c>
      <c r="G38" s="192" t="s">
        <v>28</v>
      </c>
      <c r="H38" s="136"/>
      <c r="I38" s="136"/>
      <c r="J38" s="198">
        <v>0.15</v>
      </c>
    </row>
    <row r="39" spans="2:39" s="25" customFormat="1" ht="18" customHeight="1">
      <c r="B39" s="25" t="s">
        <v>67</v>
      </c>
      <c r="D39" s="194">
        <f>C66</f>
        <v>2.1500000000000002E-2</v>
      </c>
      <c r="E39" s="132">
        <f>(D31*D39)*10</f>
        <v>6.45</v>
      </c>
      <c r="H39" s="175"/>
      <c r="I39" s="176"/>
      <c r="J39" s="176"/>
      <c r="K39" s="30"/>
      <c r="S39" s="168" t="s">
        <v>55</v>
      </c>
      <c r="T39" s="146"/>
      <c r="U39" s="169"/>
      <c r="V39" s="146"/>
      <c r="W39" s="146"/>
      <c r="X39" s="146"/>
      <c r="Y39" s="130"/>
      <c r="Z39" s="133"/>
      <c r="AA39" s="133"/>
      <c r="AB39" s="133"/>
      <c r="AC39" s="133"/>
      <c r="AH39" s="112"/>
      <c r="AI39" s="133"/>
      <c r="AJ39" s="133"/>
      <c r="AK39" s="133"/>
      <c r="AL39" s="133"/>
      <c r="AM39" s="133"/>
    </row>
    <row r="40" spans="2:39" s="25" customFormat="1" ht="18" customHeight="1">
      <c r="B40" s="25" t="s">
        <v>41</v>
      </c>
      <c r="D40" s="180">
        <v>0.2</v>
      </c>
      <c r="E40" s="132">
        <f>(Y15-D31-E39-E41)*D40</f>
        <v>67.869549062499985</v>
      </c>
      <c r="H40" s="29" t="s">
        <v>61</v>
      </c>
      <c r="I40" s="29"/>
      <c r="J40" s="29"/>
      <c r="K40" s="29"/>
      <c r="L40" s="29" t="s">
        <v>20</v>
      </c>
      <c r="M40" s="29"/>
      <c r="N40" s="29"/>
      <c r="O40" s="29"/>
      <c r="S40" s="25" t="s">
        <v>23</v>
      </c>
      <c r="U40" s="195">
        <v>15</v>
      </c>
      <c r="V40" s="156">
        <v>1</v>
      </c>
      <c r="W40" s="156">
        <v>1</v>
      </c>
      <c r="X40" s="156">
        <v>0</v>
      </c>
      <c r="Y40" s="130">
        <f>SUM(U40:X40)-C$12</f>
        <v>0</v>
      </c>
      <c r="Z40" s="133"/>
      <c r="AA40" s="133"/>
      <c r="AB40" s="133"/>
      <c r="AC40" s="133"/>
      <c r="AH40" s="118"/>
      <c r="AI40" s="133"/>
      <c r="AJ40" s="133"/>
      <c r="AK40" s="133"/>
      <c r="AL40" s="133"/>
      <c r="AM40" s="133"/>
    </row>
    <row r="41" spans="2:39" s="25" customFormat="1" ht="18" customHeight="1" thickBot="1">
      <c r="B41" s="157" t="s">
        <v>66</v>
      </c>
      <c r="C41" s="157"/>
      <c r="D41" s="179">
        <v>1.5E-3</v>
      </c>
      <c r="E41" s="158">
        <f>(D31*D41)*10</f>
        <v>0.44999999999999996</v>
      </c>
      <c r="G41" s="149" t="str">
        <f>B11</f>
        <v>Fund</v>
      </c>
      <c r="H41" s="117" t="str">
        <f>$H$9</f>
        <v>0.0x</v>
      </c>
      <c r="I41" s="117" t="str">
        <f>$I$9</f>
        <v>20.0x</v>
      </c>
      <c r="J41" s="117" t="str">
        <f>$J$9</f>
        <v>250.0x</v>
      </c>
      <c r="K41" s="117" t="str">
        <f>$K$9</f>
        <v>600.0x</v>
      </c>
      <c r="L41" s="117" t="str">
        <f>$H$9</f>
        <v>0.0x</v>
      </c>
      <c r="M41" s="117" t="str">
        <f>$I$9</f>
        <v>20.0x</v>
      </c>
      <c r="N41" s="117" t="str">
        <f>$J$9</f>
        <v>250.0x</v>
      </c>
      <c r="O41" s="117" t="str">
        <f>$K$9</f>
        <v>600.0x</v>
      </c>
      <c r="R41" s="116"/>
      <c r="S41" s="25" t="s">
        <v>22</v>
      </c>
      <c r="U41" s="195">
        <v>8</v>
      </c>
      <c r="V41" s="156">
        <v>2.1</v>
      </c>
      <c r="W41" s="156">
        <v>0</v>
      </c>
      <c r="X41" s="156">
        <v>0</v>
      </c>
      <c r="Y41" s="130">
        <f>SUM(U41:X41)-C$13</f>
        <v>9.9999999999999645E-2</v>
      </c>
    </row>
    <row r="42" spans="2:39" s="25" customFormat="1" ht="18" customHeight="1" thickBot="1">
      <c r="B42" s="25" t="s">
        <v>63</v>
      </c>
      <c r="E42" s="132">
        <f>SUM(E39:E41)</f>
        <v>74.769549062499991</v>
      </c>
      <c r="G42" s="145" t="str">
        <f>B12</f>
        <v>Pre-Seed</v>
      </c>
      <c r="H42" s="129">
        <f>IFERROR(1-(1-$J$38)^L42,"N/A")</f>
        <v>0</v>
      </c>
      <c r="I42" s="129">
        <f>IFERROR(1-(1-$J$38)^M42,"N/A")</f>
        <v>0.27750000000000008</v>
      </c>
      <c r="J42" s="129">
        <f>IFERROR(1-(1-$J$38)^N42,"N/A")</f>
        <v>0.55629468750000011</v>
      </c>
      <c r="K42" s="129">
        <f>IFERROR(1-(1-$J$38)^O42,"N/A")</f>
        <v>0.62285048437500012</v>
      </c>
      <c r="L42" s="156">
        <v>0</v>
      </c>
      <c r="M42" s="156">
        <v>2</v>
      </c>
      <c r="N42" s="156">
        <v>5</v>
      </c>
      <c r="O42" s="156">
        <v>6</v>
      </c>
      <c r="S42" s="157" t="s">
        <v>24</v>
      </c>
      <c r="T42" s="157"/>
      <c r="U42" s="196">
        <v>5</v>
      </c>
      <c r="V42" s="197">
        <v>1</v>
      </c>
      <c r="W42" s="197">
        <v>0</v>
      </c>
      <c r="X42" s="197">
        <v>0</v>
      </c>
      <c r="Y42" s="130">
        <f>SUM(U42:X42)-C$14</f>
        <v>0</v>
      </c>
    </row>
    <row r="43" spans="2:39" s="25" customFormat="1" ht="18" customHeight="1">
      <c r="G43" s="145" t="str">
        <f>B13</f>
        <v>Seed</v>
      </c>
      <c r="H43" s="129">
        <f>IFERROR(1-(1-$J$38)^L43,"N/A")</f>
        <v>0</v>
      </c>
      <c r="I43" s="129">
        <f>IFERROR(1-(1-$J$38)^M43,"N/A")</f>
        <v>0.27750000000000008</v>
      </c>
      <c r="J43" s="129">
        <f>IFERROR(1-(1-$J$38)^N43,"N/A")</f>
        <v>0.55629468750000011</v>
      </c>
      <c r="K43" s="129">
        <f>IFERROR(1-(1-$J$38)^O43,"N/A")</f>
        <v>0.62285048437500012</v>
      </c>
      <c r="L43" s="156">
        <v>0</v>
      </c>
      <c r="M43" s="156">
        <v>2</v>
      </c>
      <c r="N43" s="156">
        <v>5</v>
      </c>
      <c r="O43" s="156">
        <v>6</v>
      </c>
      <c r="R43" s="116"/>
      <c r="S43" s="116" t="s">
        <v>16</v>
      </c>
      <c r="U43" s="166">
        <f>SUM(U40:U42)</f>
        <v>28</v>
      </c>
      <c r="V43" s="167">
        <f>SUM(V40:V42)</f>
        <v>4.0999999999999996</v>
      </c>
      <c r="W43" s="167">
        <f>SUM(W40:W42)</f>
        <v>1</v>
      </c>
      <c r="X43" s="167">
        <f>SUM(X40:X42)</f>
        <v>0</v>
      </c>
      <c r="Y43" s="130"/>
    </row>
    <row r="44" spans="2:39" s="25" customFormat="1" ht="18" customHeight="1">
      <c r="B44" s="116" t="s">
        <v>72</v>
      </c>
      <c r="C44" s="26"/>
      <c r="D44" s="177">
        <v>100</v>
      </c>
      <c r="E44" s="132"/>
      <c r="G44" s="145" t="str">
        <f>B14</f>
        <v>Series A</v>
      </c>
      <c r="H44" s="129">
        <f>IFERROR(1-(1-$J$38)^L44,"N/A")</f>
        <v>0</v>
      </c>
      <c r="I44" s="129">
        <f>IFERROR(1-(1-$J$38)^M44,"N/A")</f>
        <v>0.15000000000000002</v>
      </c>
      <c r="J44" s="129">
        <f>IFERROR(1-(1-$J$38)^N44,"N/A")</f>
        <v>0.47799375000000011</v>
      </c>
      <c r="K44" s="129">
        <f>IFERROR(1-(1-$J$38)^O44,"N/A")</f>
        <v>0.55629468750000011</v>
      </c>
      <c r="L44" s="156">
        <v>0</v>
      </c>
      <c r="M44" s="156">
        <v>1</v>
      </c>
      <c r="N44" s="156">
        <v>4</v>
      </c>
      <c r="O44" s="156">
        <v>5</v>
      </c>
      <c r="Y44" s="130"/>
    </row>
    <row r="45" spans="2:39" s="25" customFormat="1" ht="18" customHeight="1">
      <c r="B45" s="123" t="s">
        <v>47</v>
      </c>
      <c r="C45" s="124"/>
      <c r="D45" s="199">
        <f>-D44*D49</f>
        <v>-2</v>
      </c>
      <c r="H45" s="129"/>
      <c r="I45" s="129"/>
      <c r="J45" s="129"/>
      <c r="K45" s="129"/>
      <c r="S45" s="170" t="s">
        <v>56</v>
      </c>
      <c r="T45" s="148"/>
      <c r="U45" s="171"/>
      <c r="V45" s="148"/>
      <c r="W45" s="148"/>
      <c r="X45" s="148"/>
    </row>
    <row r="46" spans="2:39" s="25" customFormat="1" ht="18" customHeight="1">
      <c r="B46" s="116" t="s">
        <v>46</v>
      </c>
      <c r="C46" s="26"/>
      <c r="D46" s="120">
        <f>SUM(D44:D45)</f>
        <v>98</v>
      </c>
      <c r="H46" s="29" t="s">
        <v>61</v>
      </c>
      <c r="I46" s="29"/>
      <c r="J46" s="29"/>
      <c r="K46" s="29"/>
      <c r="L46" s="29" t="s">
        <v>20</v>
      </c>
      <c r="M46" s="29"/>
      <c r="N46" s="29"/>
      <c r="O46" s="29"/>
      <c r="P46" s="115"/>
      <c r="Q46" s="115"/>
      <c r="R46" s="115"/>
      <c r="S46" s="25" t="s">
        <v>23</v>
      </c>
      <c r="U46" s="195">
        <v>0</v>
      </c>
      <c r="V46" s="156">
        <v>0</v>
      </c>
      <c r="W46" s="156">
        <v>0</v>
      </c>
      <c r="X46" s="156">
        <v>0</v>
      </c>
      <c r="Y46" s="130">
        <f>SUM(U46:X46)-C$12</f>
        <v>-17</v>
      </c>
    </row>
    <row r="47" spans="2:39" s="25" customFormat="1" ht="18" customHeight="1">
      <c r="G47" s="149" t="str">
        <f>B17</f>
        <v>Co-Invest</v>
      </c>
      <c r="H47" s="117" t="str">
        <f>$H$17</f>
        <v>0.0x</v>
      </c>
      <c r="I47" s="117" t="str">
        <f>$I$17</f>
        <v>3.0x</v>
      </c>
      <c r="J47" s="117" t="str">
        <f>$J$17</f>
        <v>10.0x</v>
      </c>
      <c r="K47" s="117" t="str">
        <f>$K$17</f>
        <v>100.0x</v>
      </c>
      <c r="L47" s="117" t="str">
        <f>$H$9</f>
        <v>0.0x</v>
      </c>
      <c r="M47" s="117" t="str">
        <f>$I$9</f>
        <v>20.0x</v>
      </c>
      <c r="N47" s="117" t="str">
        <f>$J$9</f>
        <v>250.0x</v>
      </c>
      <c r="O47" s="117" t="str">
        <f>$K$9</f>
        <v>600.0x</v>
      </c>
      <c r="P47" s="115"/>
      <c r="Q47" s="115"/>
      <c r="S47" s="25" t="s">
        <v>22</v>
      </c>
      <c r="U47" s="195">
        <v>0</v>
      </c>
      <c r="V47" s="156">
        <v>0</v>
      </c>
      <c r="W47" s="156">
        <v>0</v>
      </c>
      <c r="X47" s="156">
        <v>0</v>
      </c>
      <c r="Y47" s="130">
        <f>SUM(U47:X47)-C$13</f>
        <v>-10</v>
      </c>
    </row>
    <row r="48" spans="2:39" s="25" customFormat="1" ht="18" customHeight="1" thickBot="1">
      <c r="B48" s="128" t="s">
        <v>65</v>
      </c>
      <c r="E48" s="132"/>
      <c r="G48" s="145" t="str">
        <f>B18</f>
        <v>Series A</v>
      </c>
      <c r="H48" s="129">
        <f>IFERROR(1-(1-$J$38)^L48,"N/A")</f>
        <v>0</v>
      </c>
      <c r="I48" s="129">
        <f>IFERROR(1-(1-$J$38)^M48,"N/A")</f>
        <v>0.15000000000000002</v>
      </c>
      <c r="J48" s="129">
        <f>IFERROR(1-(1-$J$38)^N48,"N/A")</f>
        <v>0.47799375000000011</v>
      </c>
      <c r="K48" s="129">
        <f>IFERROR(1-(1-$J$38)^O48,"N/A")</f>
        <v>0.55629468750000011</v>
      </c>
      <c r="L48" s="156">
        <v>0</v>
      </c>
      <c r="M48" s="156">
        <v>1</v>
      </c>
      <c r="N48" s="156">
        <f>N44</f>
        <v>4</v>
      </c>
      <c r="O48" s="156">
        <f>O44</f>
        <v>5</v>
      </c>
      <c r="P48" s="115"/>
      <c r="Q48" s="115"/>
      <c r="S48" s="157" t="s">
        <v>24</v>
      </c>
      <c r="T48" s="157"/>
      <c r="U48" s="196">
        <v>0</v>
      </c>
      <c r="V48" s="197">
        <v>0</v>
      </c>
      <c r="W48" s="197">
        <v>0</v>
      </c>
      <c r="X48" s="197">
        <v>0</v>
      </c>
      <c r="Y48" s="130">
        <f>SUM(U48:X48)-C$14</f>
        <v>-6</v>
      </c>
    </row>
    <row r="49" spans="2:25" s="25" customFormat="1" ht="18" customHeight="1">
      <c r="B49" s="25" t="s">
        <v>42</v>
      </c>
      <c r="D49" s="178">
        <v>0.02</v>
      </c>
      <c r="E49" s="132">
        <f>X21*D49</f>
        <v>1.96</v>
      </c>
      <c r="G49" s="145" t="str">
        <f>B19</f>
        <v>Series B</v>
      </c>
      <c r="H49" s="129">
        <f>IFERROR(1-(1-$J$38)^L49,"N/A")</f>
        <v>0</v>
      </c>
      <c r="I49" s="129">
        <f>IFERROR(1-(1-$J$38)^M49,"N/A")</f>
        <v>0</v>
      </c>
      <c r="J49" s="129">
        <f>IFERROR(1-(1-$J$38)^N49,"N/A")</f>
        <v>0.27750000000000008</v>
      </c>
      <c r="K49" s="129">
        <f>IFERROR(1-(1-$J$38)^O49,"N/A")</f>
        <v>0.38587500000000008</v>
      </c>
      <c r="L49" s="156">
        <v>0</v>
      </c>
      <c r="M49" s="156">
        <v>0</v>
      </c>
      <c r="N49" s="156">
        <v>2</v>
      </c>
      <c r="O49" s="156">
        <v>3</v>
      </c>
      <c r="P49" s="115"/>
      <c r="Q49" s="115"/>
      <c r="S49" s="116" t="s">
        <v>16</v>
      </c>
      <c r="U49" s="166">
        <f>SUM(U46:U48)</f>
        <v>0</v>
      </c>
      <c r="V49" s="167">
        <f>SUM(V46:V48)</f>
        <v>0</v>
      </c>
      <c r="W49" s="167">
        <f>SUM(W46:W48)</f>
        <v>0</v>
      </c>
      <c r="X49" s="167">
        <f>SUM(X46:X48)</f>
        <v>0</v>
      </c>
    </row>
    <row r="50" spans="2:25" s="25" customFormat="1" ht="18" customHeight="1">
      <c r="B50" s="25" t="s">
        <v>41</v>
      </c>
      <c r="D50" s="180">
        <v>0.1</v>
      </c>
      <c r="E50" s="132">
        <f>(Y21-X21-E49)*D50</f>
        <v>20.862962749999994</v>
      </c>
      <c r="G50" s="145" t="str">
        <f>B20</f>
        <v>Series C</v>
      </c>
      <c r="H50" s="129">
        <f>IFERROR(1-(1-$J$38)^L50,"N/A")</f>
        <v>0</v>
      </c>
      <c r="I50" s="129">
        <f>IFERROR(1-(1-$J$38)^M50,"N/A")</f>
        <v>0</v>
      </c>
      <c r="J50" s="129">
        <f>IFERROR(1-(1-$J$38)^N50,"N/A")</f>
        <v>0.27750000000000008</v>
      </c>
      <c r="K50" s="129">
        <f>IFERROR(1-(1-$J$38)^O50,"N/A")</f>
        <v>0.38587500000000008</v>
      </c>
      <c r="L50" s="156">
        <v>0</v>
      </c>
      <c r="M50" s="156">
        <v>0</v>
      </c>
      <c r="N50" s="156">
        <v>2</v>
      </c>
      <c r="O50" s="156">
        <v>3</v>
      </c>
    </row>
    <row r="51" spans="2:25" s="25" customFormat="1" ht="18" customHeight="1">
      <c r="L51" s="115"/>
      <c r="M51" s="115"/>
      <c r="N51" s="115"/>
      <c r="O51" s="115"/>
      <c r="S51" s="172" t="s">
        <v>62</v>
      </c>
      <c r="T51" s="172"/>
      <c r="U51" s="172"/>
      <c r="V51" s="173"/>
      <c r="W51" s="173"/>
      <c r="X51" s="173"/>
      <c r="Y51" s="173"/>
    </row>
    <row r="52" spans="2:25" s="25" customFormat="1" ht="18" customHeight="1">
      <c r="L52" s="115"/>
      <c r="M52" s="115"/>
      <c r="N52" s="115"/>
      <c r="O52" s="115"/>
    </row>
    <row r="53" spans="2:25" s="25" customFormat="1" ht="18" customHeight="1">
      <c r="B53" s="29" t="s">
        <v>70</v>
      </c>
      <c r="C53" s="184"/>
      <c r="D53" s="185"/>
      <c r="L53" s="115"/>
      <c r="M53" s="115"/>
      <c r="N53" s="115"/>
      <c r="O53" s="115"/>
      <c r="S53" s="170" t="s">
        <v>9</v>
      </c>
      <c r="T53" s="148"/>
      <c r="U53" s="171"/>
      <c r="V53" s="148"/>
      <c r="W53" s="148"/>
      <c r="X53" s="148"/>
    </row>
    <row r="54" spans="2:25" s="25" customFormat="1" ht="18" customHeight="1">
      <c r="B54" s="186" t="s">
        <v>51</v>
      </c>
      <c r="C54" s="187" t="s">
        <v>52</v>
      </c>
      <c r="D54" s="187" t="s">
        <v>50</v>
      </c>
      <c r="L54" s="115"/>
      <c r="M54" s="115"/>
      <c r="N54" s="115"/>
      <c r="O54" s="115"/>
      <c r="S54" s="25" t="str">
        <f>B18</f>
        <v>Series A</v>
      </c>
      <c r="U54" s="195">
        <v>6</v>
      </c>
      <c r="V54" s="156">
        <v>2</v>
      </c>
      <c r="W54" s="156">
        <v>1</v>
      </c>
      <c r="X54" s="156">
        <v>1</v>
      </c>
      <c r="Y54" s="130">
        <f>SUM(U54:X54)-C$18</f>
        <v>0</v>
      </c>
    </row>
    <row r="55" spans="2:25" s="25" customFormat="1" ht="18" customHeight="1">
      <c r="B55" s="174">
        <v>1</v>
      </c>
      <c r="C55" s="188">
        <v>2.5000000000000001E-2</v>
      </c>
      <c r="D55" s="132">
        <f>$D$31*C55</f>
        <v>0.75</v>
      </c>
      <c r="L55" s="115"/>
      <c r="M55" s="115"/>
      <c r="N55" s="115"/>
      <c r="O55" s="115"/>
      <c r="S55" s="25" t="str">
        <f t="shared" ref="S55:S56" si="17">B19</f>
        <v>Series B</v>
      </c>
      <c r="U55" s="195">
        <v>5</v>
      </c>
      <c r="V55" s="156">
        <v>2</v>
      </c>
      <c r="W55" s="156">
        <v>1</v>
      </c>
      <c r="X55" s="156">
        <v>0</v>
      </c>
      <c r="Y55" s="130">
        <f>SUM(U55:X55)-C$19</f>
        <v>0</v>
      </c>
    </row>
    <row r="56" spans="2:25" s="25" customFormat="1" ht="18" customHeight="1" thickBot="1">
      <c r="B56" s="174">
        <f>B55+1</f>
        <v>2</v>
      </c>
      <c r="C56" s="188">
        <v>2.5000000000000001E-2</v>
      </c>
      <c r="D56" s="132">
        <f>$D$31*C56</f>
        <v>0.75</v>
      </c>
      <c r="L56" s="115"/>
      <c r="M56" s="115"/>
      <c r="N56" s="115"/>
      <c r="O56" s="115"/>
      <c r="S56" s="157" t="str">
        <f t="shared" si="17"/>
        <v>Series C</v>
      </c>
      <c r="T56" s="157"/>
      <c r="U56" s="196">
        <v>2</v>
      </c>
      <c r="V56" s="197">
        <v>2</v>
      </c>
      <c r="W56" s="197">
        <v>0</v>
      </c>
      <c r="X56" s="197">
        <v>0</v>
      </c>
      <c r="Y56" s="130">
        <f>SUM(U56:X56)-C$20</f>
        <v>0</v>
      </c>
    </row>
    <row r="57" spans="2:25" s="25" customFormat="1" ht="18" customHeight="1">
      <c r="B57" s="174">
        <f>B56+1</f>
        <v>3</v>
      </c>
      <c r="C57" s="188">
        <v>2.5000000000000001E-2</v>
      </c>
      <c r="D57" s="132">
        <f>$D$31*C57</f>
        <v>0.75</v>
      </c>
      <c r="L57" s="115"/>
      <c r="M57" s="115"/>
      <c r="N57" s="115"/>
      <c r="O57" s="115"/>
      <c r="S57" s="116" t="s">
        <v>16</v>
      </c>
      <c r="U57" s="166">
        <f>SUM(U54:U56)</f>
        <v>13</v>
      </c>
      <c r="V57" s="167">
        <f>SUM(V54:V56)</f>
        <v>6</v>
      </c>
      <c r="W57" s="167">
        <f>SUM(W54:W56)</f>
        <v>2</v>
      </c>
      <c r="X57" s="167">
        <f>SUM(X54:X56)</f>
        <v>1</v>
      </c>
    </row>
    <row r="58" spans="2:25" s="25" customFormat="1" ht="18" customHeight="1">
      <c r="B58" s="174">
        <f>B57+1</f>
        <v>4</v>
      </c>
      <c r="C58" s="188">
        <v>2.5000000000000001E-2</v>
      </c>
      <c r="D58" s="132">
        <f>$D$31*C58</f>
        <v>0.75</v>
      </c>
      <c r="L58" s="115"/>
      <c r="M58" s="115"/>
      <c r="N58" s="115"/>
      <c r="O58" s="115"/>
    </row>
    <row r="59" spans="2:25" s="25" customFormat="1" ht="18" customHeight="1">
      <c r="B59" s="174">
        <f>B58+1</f>
        <v>5</v>
      </c>
      <c r="C59" s="188">
        <v>2.5000000000000001E-2</v>
      </c>
      <c r="D59" s="132">
        <f>$D$31*C59</f>
        <v>0.75</v>
      </c>
      <c r="L59" s="115"/>
      <c r="M59" s="115"/>
      <c r="N59" s="115"/>
      <c r="O59" s="115"/>
    </row>
    <row r="60" spans="2:25" s="25" customFormat="1" ht="18" customHeight="1">
      <c r="B60" s="174">
        <f>B59+1</f>
        <v>6</v>
      </c>
      <c r="C60" s="188">
        <v>2.2499999999999999E-2</v>
      </c>
      <c r="D60" s="132">
        <f>$D$31*C60</f>
        <v>0.67499999999999993</v>
      </c>
      <c r="L60" s="115"/>
      <c r="M60" s="115"/>
      <c r="N60" s="115"/>
      <c r="O60" s="115"/>
    </row>
    <row r="61" spans="2:25" s="25" customFormat="1" ht="18" customHeight="1">
      <c r="B61" s="174">
        <f>B60+1</f>
        <v>7</v>
      </c>
      <c r="C61" s="188">
        <v>0.02</v>
      </c>
      <c r="D61" s="132">
        <f>$D$31*C61</f>
        <v>0.6</v>
      </c>
      <c r="L61" s="115"/>
      <c r="M61" s="115"/>
      <c r="N61" s="115"/>
      <c r="O61" s="115"/>
    </row>
    <row r="62" spans="2:25" s="25" customFormat="1" ht="18" customHeight="1">
      <c r="B62" s="174">
        <f>B61+1</f>
        <v>8</v>
      </c>
      <c r="C62" s="188">
        <v>1.7500000000000002E-2</v>
      </c>
      <c r="D62" s="132">
        <f>$D$31*C62</f>
        <v>0.52500000000000002</v>
      </c>
      <c r="L62" s="115"/>
      <c r="M62" s="115"/>
      <c r="N62" s="115"/>
      <c r="O62" s="115"/>
    </row>
    <row r="63" spans="2:25" s="25" customFormat="1" ht="18" customHeight="1">
      <c r="B63" s="174">
        <f>B62+1</f>
        <v>9</v>
      </c>
      <c r="C63" s="188">
        <v>1.4999999999999999E-2</v>
      </c>
      <c r="D63" s="132">
        <f>$D$31*C63</f>
        <v>0.44999999999999996</v>
      </c>
      <c r="L63" s="115"/>
      <c r="M63" s="115"/>
      <c r="N63" s="115"/>
      <c r="O63" s="115"/>
    </row>
    <row r="64" spans="2:25" s="25" customFormat="1" ht="18" customHeight="1">
      <c r="B64" s="189">
        <f>B63+1</f>
        <v>10</v>
      </c>
      <c r="C64" s="190">
        <v>1.4999999999999999E-2</v>
      </c>
      <c r="D64" s="132">
        <f>$D$31*C64</f>
        <v>0.44999999999999996</v>
      </c>
      <c r="L64" s="115"/>
      <c r="M64" s="115"/>
      <c r="N64" s="115"/>
      <c r="O64" s="115"/>
    </row>
    <row r="65" spans="2:15" s="25" customFormat="1" ht="18" customHeight="1">
      <c r="C65" s="26"/>
      <c r="D65" s="191"/>
      <c r="L65" s="115"/>
      <c r="M65" s="115"/>
      <c r="N65" s="115"/>
      <c r="O65" s="115"/>
    </row>
    <row r="66" spans="2:15" s="25" customFormat="1">
      <c r="B66" s="192" t="s">
        <v>53</v>
      </c>
      <c r="C66" s="193">
        <f>AVERAGE(C55:C64)</f>
        <v>2.1500000000000002E-2</v>
      </c>
      <c r="L66" s="115"/>
      <c r="M66" s="115"/>
      <c r="N66" s="115"/>
      <c r="O66" s="115"/>
    </row>
    <row r="67" spans="2:15" s="25" customFormat="1">
      <c r="L67" s="115"/>
      <c r="M67" s="115"/>
      <c r="N67" s="115"/>
      <c r="O67" s="11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Dunteman</dc:creator>
  <cp:lastModifiedBy>Dillon Dunteman</cp:lastModifiedBy>
  <dcterms:created xsi:type="dcterms:W3CDTF">2024-07-13T21:04:53Z</dcterms:created>
  <dcterms:modified xsi:type="dcterms:W3CDTF">2025-09-07T15:05:47Z</dcterms:modified>
</cp:coreProperties>
</file>
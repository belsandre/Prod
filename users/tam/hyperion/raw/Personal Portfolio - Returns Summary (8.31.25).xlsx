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ddunteman/Desktop/Hyperion/~Fundraising/* DATA ROOM/3. Personal Track Record/"/>
    </mc:Choice>
  </mc:AlternateContent>
  <xr:revisionPtr revIDLastSave="0" documentId="13_ncr:1_{14D9F56F-405D-894E-A7A9-AED1A84C3D24}" xr6:coauthVersionLast="47" xr6:coauthVersionMax="47" xr10:uidLastSave="{00000000-0000-0000-0000-000000000000}"/>
  <bookViews>
    <workbookView xWindow="20" yWindow="520" windowWidth="28420" windowHeight="16160" activeTab="1" xr2:uid="{A97A251F-B0B2-214C-80B2-8CEC5EF60311}"/>
  </bookViews>
  <sheets>
    <sheet name="Sheet1" sheetId="1" state="hidden" r:id="rId1"/>
    <sheet name="Returns" sheetId="3" r:id="rId2"/>
    <sheet name="Disclosures" sheetId="4"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3" l="1"/>
  <c r="N24" i="3"/>
  <c r="O24" i="3"/>
  <c r="P24" i="3"/>
  <c r="V24" i="3"/>
  <c r="Z24" i="3"/>
  <c r="AD24" i="3"/>
  <c r="S24" i="3" s="1"/>
  <c r="AB4" i="3"/>
  <c r="S32" i="3"/>
  <c r="X118" i="3"/>
  <c r="X98" i="3"/>
  <c r="X99" i="3"/>
  <c r="X100" i="3"/>
  <c r="X101" i="3"/>
  <c r="X102" i="3"/>
  <c r="X154" i="3" s="1"/>
  <c r="X103" i="3"/>
  <c r="X155" i="3" s="1"/>
  <c r="X104" i="3"/>
  <c r="X156" i="3" s="1"/>
  <c r="X105" i="3"/>
  <c r="X157" i="3" s="1"/>
  <c r="X106" i="3"/>
  <c r="X158" i="3" s="1"/>
  <c r="X107" i="3"/>
  <c r="X159" i="3" s="1"/>
  <c r="X108" i="3"/>
  <c r="X160" i="3" s="1"/>
  <c r="X109" i="3"/>
  <c r="X161" i="3" s="1"/>
  <c r="X110" i="3"/>
  <c r="X162" i="3" s="1"/>
  <c r="X111" i="3"/>
  <c r="X163" i="3" s="1"/>
  <c r="X112" i="3"/>
  <c r="X164" i="3" s="1"/>
  <c r="X113" i="3"/>
  <c r="X165" i="3" s="1"/>
  <c r="X114" i="3"/>
  <c r="X115" i="3"/>
  <c r="X116" i="3"/>
  <c r="X117" i="3"/>
  <c r="X93" i="3"/>
  <c r="Y93" i="3"/>
  <c r="Q25" i="3"/>
  <c r="O29" i="3"/>
  <c r="AD29" i="3" s="1"/>
  <c r="Q5" i="3"/>
  <c r="I29" i="3"/>
  <c r="V29" i="3"/>
  <c r="X95" i="3"/>
  <c r="X92" i="3"/>
  <c r="Y92" i="3"/>
  <c r="I28" i="3"/>
  <c r="AA24" i="3" l="1"/>
  <c r="P29" i="3"/>
  <c r="S29" i="3"/>
  <c r="AA29" i="3"/>
  <c r="P28" i="3"/>
  <c r="V28" i="3"/>
  <c r="AD28" i="3"/>
  <c r="S28" i="3" s="1"/>
  <c r="Z167" i="3"/>
  <c r="Z120" i="3"/>
  <c r="X153" i="3"/>
  <c r="X152" i="3"/>
  <c r="X151" i="3"/>
  <c r="X150" i="3"/>
  <c r="X97" i="3"/>
  <c r="X149" i="3" s="1"/>
  <c r="X96" i="3"/>
  <c r="X148" i="3" s="1"/>
  <c r="X147" i="3"/>
  <c r="X94" i="3"/>
  <c r="X146" i="3" s="1"/>
  <c r="Y91" i="3"/>
  <c r="X91" i="3"/>
  <c r="Y90" i="3"/>
  <c r="X90" i="3"/>
  <c r="Y89" i="3"/>
  <c r="X89" i="3"/>
  <c r="Y88" i="3"/>
  <c r="X88" i="3"/>
  <c r="X145" i="3" s="1"/>
  <c r="Y87" i="3"/>
  <c r="X87" i="3"/>
  <c r="X144" i="3" s="1"/>
  <c r="Y86" i="3"/>
  <c r="X86" i="3"/>
  <c r="X143" i="3" s="1"/>
  <c r="Y85" i="3"/>
  <c r="X85" i="3"/>
  <c r="X142" i="3" s="1"/>
  <c r="Y84" i="3"/>
  <c r="X84" i="3"/>
  <c r="X141" i="3" s="1"/>
  <c r="Y83" i="3"/>
  <c r="X83" i="3"/>
  <c r="X140" i="3" s="1"/>
  <c r="Y82" i="3"/>
  <c r="Y139" i="3" s="1"/>
  <c r="X82" i="3"/>
  <c r="X139" i="3" s="1"/>
  <c r="Y81" i="3"/>
  <c r="Y138" i="3" s="1"/>
  <c r="X81" i="3"/>
  <c r="X138" i="3" s="1"/>
  <c r="Y80" i="3"/>
  <c r="X80" i="3"/>
  <c r="X137" i="3" s="1"/>
  <c r="Y79" i="3"/>
  <c r="Y136" i="3" s="1"/>
  <c r="X79" i="3"/>
  <c r="X136" i="3" s="1"/>
  <c r="Y78" i="3"/>
  <c r="Y135" i="3" s="1"/>
  <c r="X78" i="3"/>
  <c r="X135" i="3" s="1"/>
  <c r="Y77" i="3"/>
  <c r="X77" i="3"/>
  <c r="X134" i="3" s="1"/>
  <c r="Y76" i="3"/>
  <c r="Y133" i="3" s="1"/>
  <c r="X76" i="3"/>
  <c r="X133" i="3" s="1"/>
  <c r="Y75" i="3"/>
  <c r="Y132" i="3" s="1"/>
  <c r="X75" i="3"/>
  <c r="X132" i="3" s="1"/>
  <c r="Y74" i="3"/>
  <c r="X74" i="3"/>
  <c r="X131" i="3" s="1"/>
  <c r="Y73" i="3"/>
  <c r="Y130" i="3" s="1"/>
  <c r="X73" i="3"/>
  <c r="X130" i="3" s="1"/>
  <c r="Y72" i="3"/>
  <c r="Y129" i="3" s="1"/>
  <c r="X72" i="3"/>
  <c r="X129" i="3" s="1"/>
  <c r="Y71" i="3"/>
  <c r="X71" i="3"/>
  <c r="X128" i="3" s="1"/>
  <c r="Y70" i="3"/>
  <c r="Y127" i="3" s="1"/>
  <c r="X70" i="3"/>
  <c r="X127" i="3" s="1"/>
  <c r="Y69" i="3"/>
  <c r="X69" i="3"/>
  <c r="X126" i="3" s="1"/>
  <c r="Y68" i="3"/>
  <c r="S42" i="3"/>
  <c r="AD27" i="3"/>
  <c r="S27" i="3" s="1"/>
  <c r="V27" i="3"/>
  <c r="AA27" i="3" s="1"/>
  <c r="P27" i="3"/>
  <c r="I27" i="3"/>
  <c r="AD26" i="3"/>
  <c r="S26" i="3" s="1"/>
  <c r="V26" i="3"/>
  <c r="AA26" i="3" s="1"/>
  <c r="P26" i="3"/>
  <c r="I26" i="3"/>
  <c r="AD25" i="3"/>
  <c r="S25" i="3" s="1"/>
  <c r="V25" i="3"/>
  <c r="AA25" i="3" s="1"/>
  <c r="P25" i="3"/>
  <c r="I25" i="3"/>
  <c r="V23" i="3"/>
  <c r="O23" i="3"/>
  <c r="I23" i="3"/>
  <c r="V22" i="3"/>
  <c r="O22" i="3"/>
  <c r="P22" i="3" s="1"/>
  <c r="I22" i="3"/>
  <c r="AD21" i="3"/>
  <c r="S21" i="3" s="1"/>
  <c r="V21" i="3"/>
  <c r="P21" i="3"/>
  <c r="I21" i="3"/>
  <c r="AD20" i="3"/>
  <c r="S20" i="3" s="1"/>
  <c r="P20" i="3"/>
  <c r="K20" i="3"/>
  <c r="I20" i="3"/>
  <c r="V19" i="3"/>
  <c r="O19" i="3"/>
  <c r="I19" i="3"/>
  <c r="V18" i="3"/>
  <c r="Q18" i="3"/>
  <c r="P18" i="3"/>
  <c r="I18" i="3"/>
  <c r="V17" i="3"/>
  <c r="Q17" i="3"/>
  <c r="P17" i="3"/>
  <c r="I17" i="3"/>
  <c r="AD16" i="3"/>
  <c r="S16" i="3" s="1"/>
  <c r="V16" i="3"/>
  <c r="P16" i="3"/>
  <c r="I16" i="3"/>
  <c r="AD15" i="3"/>
  <c r="S15" i="3" s="1"/>
  <c r="V15" i="3"/>
  <c r="P15" i="3"/>
  <c r="I15" i="3"/>
  <c r="V14" i="3"/>
  <c r="N14" i="3"/>
  <c r="I14" i="3"/>
  <c r="V13" i="3"/>
  <c r="Q13" i="3"/>
  <c r="P13" i="3"/>
  <c r="I13" i="3"/>
  <c r="AD12" i="3"/>
  <c r="S12" i="3" s="1"/>
  <c r="V12" i="3"/>
  <c r="P12" i="3"/>
  <c r="I12" i="3"/>
  <c r="AD11" i="3"/>
  <c r="S11" i="3" s="1"/>
  <c r="V11" i="3"/>
  <c r="P11" i="3"/>
  <c r="I11" i="3"/>
  <c r="V10" i="3"/>
  <c r="Q10" i="3"/>
  <c r="P10" i="3"/>
  <c r="I10" i="3"/>
  <c r="V9" i="3"/>
  <c r="AA9" i="3" s="1"/>
  <c r="O9" i="3"/>
  <c r="I9" i="3"/>
  <c r="AD8" i="3"/>
  <c r="S8" i="3" s="1"/>
  <c r="V8" i="3"/>
  <c r="P8" i="3"/>
  <c r="I8" i="3"/>
  <c r="AD7" i="3"/>
  <c r="S7" i="3" s="1"/>
  <c r="V7" i="3"/>
  <c r="AA7" i="3" s="1"/>
  <c r="Z71" i="3" s="1"/>
  <c r="Z128" i="3" s="1"/>
  <c r="P7" i="3"/>
  <c r="I7" i="3"/>
  <c r="AD6" i="3"/>
  <c r="S6" i="3" s="1"/>
  <c r="V6" i="3"/>
  <c r="AA6" i="3" s="1"/>
  <c r="P6" i="3"/>
  <c r="I6" i="3"/>
  <c r="V5" i="3"/>
  <c r="AA5" i="3" s="1"/>
  <c r="I5" i="3"/>
  <c r="AD4" i="3"/>
  <c r="Z4" i="3"/>
  <c r="Z93" i="3" l="1"/>
  <c r="AB24" i="3"/>
  <c r="T24" i="3"/>
  <c r="AD9" i="3"/>
  <c r="S9" i="3" s="1"/>
  <c r="AB9" i="3" s="1"/>
  <c r="AD18" i="3"/>
  <c r="S18" i="3" s="1"/>
  <c r="AD17" i="3"/>
  <c r="S17" i="3" s="1"/>
  <c r="AD10" i="3"/>
  <c r="S10" i="3" s="1"/>
  <c r="Y144" i="3"/>
  <c r="Y145" i="3"/>
  <c r="Z13" i="3"/>
  <c r="Z29" i="3"/>
  <c r="Y118" i="3" s="1"/>
  <c r="AB29" i="3"/>
  <c r="Z118" i="3" s="1"/>
  <c r="Y143" i="3"/>
  <c r="Y142" i="3"/>
  <c r="Z28" i="3"/>
  <c r="Y117" i="3" s="1"/>
  <c r="AA28" i="3"/>
  <c r="Y131" i="3"/>
  <c r="Y128" i="3"/>
  <c r="Y140" i="3"/>
  <c r="Y141" i="3"/>
  <c r="Y134" i="3"/>
  <c r="Y137" i="3"/>
  <c r="AA17" i="3"/>
  <c r="Z81" i="3" s="1"/>
  <c r="Z138" i="3" s="1"/>
  <c r="Y126" i="3"/>
  <c r="Z15" i="3"/>
  <c r="Z5" i="3"/>
  <c r="Y94" i="3" s="1"/>
  <c r="Z11" i="3"/>
  <c r="AA16" i="3"/>
  <c r="AB16" i="3" s="1"/>
  <c r="P9" i="3"/>
  <c r="AA18" i="3"/>
  <c r="Z82" i="3" s="1"/>
  <c r="Z139" i="3" s="1"/>
  <c r="AA23" i="3"/>
  <c r="Z87" i="3" s="1"/>
  <c r="AA8" i="3"/>
  <c r="AB8" i="3" s="1"/>
  <c r="Z97" i="3" s="1"/>
  <c r="Z149" i="3" s="1"/>
  <c r="AD22" i="3"/>
  <c r="S22" i="3" s="1"/>
  <c r="AB7" i="3"/>
  <c r="Z96" i="3" s="1"/>
  <c r="Z148" i="3" s="1"/>
  <c r="P5" i="3"/>
  <c r="AA11" i="3"/>
  <c r="Z75" i="3" s="1"/>
  <c r="Z132" i="3" s="1"/>
  <c r="Z17" i="3"/>
  <c r="AA15" i="3"/>
  <c r="Z70" i="3"/>
  <c r="Z127" i="3" s="1"/>
  <c r="AB6" i="3"/>
  <c r="Z95" i="3" s="1"/>
  <c r="Z147" i="3" s="1"/>
  <c r="AA14" i="3"/>
  <c r="V20" i="3"/>
  <c r="V33" i="3" s="1"/>
  <c r="W24" i="3" s="1"/>
  <c r="L24" i="3" s="1"/>
  <c r="AA10" i="3"/>
  <c r="AD19" i="3"/>
  <c r="S19" i="3" s="1"/>
  <c r="P19" i="3"/>
  <c r="P23" i="3"/>
  <c r="AD23" i="3"/>
  <c r="S23" i="3" s="1"/>
  <c r="Z23" i="3"/>
  <c r="Y112" i="3" s="1"/>
  <c r="Y164" i="3" s="1"/>
  <c r="Z14" i="3"/>
  <c r="Z25" i="3"/>
  <c r="Y114" i="3" s="1"/>
  <c r="Z18" i="3"/>
  <c r="Y107" i="3" s="1"/>
  <c r="Y159" i="3" s="1"/>
  <c r="Z12" i="3"/>
  <c r="Z22" i="3"/>
  <c r="Z20" i="3"/>
  <c r="Z27" i="3"/>
  <c r="Y116" i="3" s="1"/>
  <c r="Z16" i="3"/>
  <c r="Y105" i="3" s="1"/>
  <c r="Y157" i="3" s="1"/>
  <c r="Z7" i="3"/>
  <c r="Z21" i="3"/>
  <c r="Y113" i="3"/>
  <c r="Y165" i="3" s="1"/>
  <c r="Z26" i="3"/>
  <c r="Y115" i="3" s="1"/>
  <c r="Z19" i="3"/>
  <c r="Z9" i="3"/>
  <c r="Z8" i="3"/>
  <c r="Y97" i="3" s="1"/>
  <c r="Y149" i="3" s="1"/>
  <c r="Z69" i="3"/>
  <c r="Z6" i="3"/>
  <c r="Y95" i="3" s="1"/>
  <c r="Y147" i="3" s="1"/>
  <c r="AA12" i="3"/>
  <c r="AA13" i="3"/>
  <c r="Z10" i="3"/>
  <c r="AA21" i="3"/>
  <c r="Z89" i="3"/>
  <c r="AB25" i="3"/>
  <c r="Z114" i="3" s="1"/>
  <c r="Z88" i="3"/>
  <c r="Z91" i="3"/>
  <c r="AA22" i="3"/>
  <c r="AB27" i="3"/>
  <c r="Z116" i="3" s="1"/>
  <c r="Z73" i="3"/>
  <c r="Z130" i="3" s="1"/>
  <c r="P14" i="3"/>
  <c r="AD14" i="3"/>
  <c r="S14" i="3" s="1"/>
  <c r="AD5" i="3"/>
  <c r="S5" i="3" s="1"/>
  <c r="AD13" i="3"/>
  <c r="S13" i="3" s="1"/>
  <c r="AA19" i="3"/>
  <c r="AB26" i="3"/>
  <c r="Z115" i="3" s="1"/>
  <c r="Z90" i="3"/>
  <c r="T27" i="3" l="1"/>
  <c r="Z92" i="3"/>
  <c r="T28" i="3"/>
  <c r="T29" i="3"/>
  <c r="P44" i="3"/>
  <c r="Y146" i="3"/>
  <c r="Z145" i="3"/>
  <c r="Z144" i="3"/>
  <c r="Y103" i="3"/>
  <c r="Y155" i="3" s="1"/>
  <c r="Y106" i="3"/>
  <c r="Y158" i="3" s="1"/>
  <c r="Y104" i="3"/>
  <c r="Y156" i="3" s="1"/>
  <c r="Y111" i="3"/>
  <c r="Y163" i="3" s="1"/>
  <c r="Y99" i="3"/>
  <c r="Y151" i="3" s="1"/>
  <c r="Y102" i="3"/>
  <c r="Y154" i="3" s="1"/>
  <c r="Y108" i="3"/>
  <c r="Y160" i="3" s="1"/>
  <c r="Y101" i="3"/>
  <c r="Y153" i="3" s="1"/>
  <c r="Y100" i="3"/>
  <c r="Y152" i="3" s="1"/>
  <c r="Y98" i="3"/>
  <c r="Y150" i="3" s="1"/>
  <c r="Z105" i="3"/>
  <c r="Z157" i="3" s="1"/>
  <c r="Y110" i="3"/>
  <c r="Y162" i="3" s="1"/>
  <c r="Z98" i="3"/>
  <c r="Z150" i="3" s="1"/>
  <c r="Y109" i="3"/>
  <c r="Y161" i="3" s="1"/>
  <c r="W28" i="3"/>
  <c r="L28" i="3" s="1"/>
  <c r="W29" i="3"/>
  <c r="L29" i="3" s="1"/>
  <c r="AB28" i="3"/>
  <c r="Z117" i="3" s="1"/>
  <c r="S40" i="3"/>
  <c r="S36" i="3"/>
  <c r="AB17" i="3"/>
  <c r="Z80" i="3"/>
  <c r="Z137" i="3" s="1"/>
  <c r="AB18" i="3"/>
  <c r="Z72" i="3"/>
  <c r="AB23" i="3"/>
  <c r="Z112" i="3" s="1"/>
  <c r="Z164" i="3" s="1"/>
  <c r="AB11" i="3"/>
  <c r="T9" i="3"/>
  <c r="W14" i="3"/>
  <c r="L14" i="3" s="1"/>
  <c r="W19" i="3"/>
  <c r="L19" i="3" s="1"/>
  <c r="W25" i="3"/>
  <c r="L25" i="3" s="1"/>
  <c r="S44" i="3"/>
  <c r="AB5" i="3"/>
  <c r="Z113" i="3"/>
  <c r="Z165" i="3" s="1"/>
  <c r="W33" i="3"/>
  <c r="W17" i="3"/>
  <c r="L17" i="3" s="1"/>
  <c r="W16" i="3"/>
  <c r="L16" i="3" s="1"/>
  <c r="W26" i="3"/>
  <c r="L26" i="3" s="1"/>
  <c r="W11" i="3"/>
  <c r="L11" i="3" s="1"/>
  <c r="W6" i="3"/>
  <c r="L6" i="3" s="1"/>
  <c r="W5" i="3"/>
  <c r="L5" i="3" s="1"/>
  <c r="W13" i="3"/>
  <c r="L13" i="3" s="1"/>
  <c r="W12" i="3"/>
  <c r="L12" i="3" s="1"/>
  <c r="W7" i="3"/>
  <c r="L7" i="3" s="1"/>
  <c r="T25" i="3"/>
  <c r="T16" i="3"/>
  <c r="W18" i="3"/>
  <c r="L18" i="3" s="1"/>
  <c r="AB15" i="3"/>
  <c r="Z79" i="3"/>
  <c r="Z136" i="3" s="1"/>
  <c r="Z76" i="3"/>
  <c r="Z133" i="3" s="1"/>
  <c r="AB12" i="3"/>
  <c r="Z77" i="3"/>
  <c r="Z134" i="3" s="1"/>
  <c r="AB13" i="3"/>
  <c r="W20" i="3"/>
  <c r="L20" i="3" s="1"/>
  <c r="AA20" i="3"/>
  <c r="AA33" i="3" s="1"/>
  <c r="AB22" i="3"/>
  <c r="Z86" i="3"/>
  <c r="Y96" i="3"/>
  <c r="Y148" i="3" s="1"/>
  <c r="T7" i="3"/>
  <c r="Z74" i="3"/>
  <c r="Z131" i="3" s="1"/>
  <c r="AB10" i="3"/>
  <c r="W27" i="3"/>
  <c r="L27" i="3" s="1"/>
  <c r="T26" i="3"/>
  <c r="W9" i="3"/>
  <c r="L9" i="3" s="1"/>
  <c r="T8" i="3"/>
  <c r="Z83" i="3"/>
  <c r="AB19" i="3"/>
  <c r="Z85" i="3"/>
  <c r="AB21" i="3"/>
  <c r="Z78" i="3"/>
  <c r="Z135" i="3" s="1"/>
  <c r="AB14" i="3"/>
  <c r="W23" i="3"/>
  <c r="L23" i="3" s="1"/>
  <c r="W8" i="3"/>
  <c r="L8" i="3" s="1"/>
  <c r="W22" i="3"/>
  <c r="L22" i="3" s="1"/>
  <c r="W21" i="3"/>
  <c r="L21" i="3" s="1"/>
  <c r="W10" i="3"/>
  <c r="L10" i="3" s="1"/>
  <c r="Z126" i="3"/>
  <c r="W15" i="3"/>
  <c r="L15" i="3" s="1"/>
  <c r="T6" i="3"/>
  <c r="AA36" i="3" l="1"/>
  <c r="Z99" i="3"/>
  <c r="Z151" i="3" s="1"/>
  <c r="Z103" i="3"/>
  <c r="Z155" i="3" s="1"/>
  <c r="Z104" i="3"/>
  <c r="Z156" i="3" s="1"/>
  <c r="Z106" i="3"/>
  <c r="Z158" i="3" s="1"/>
  <c r="Z108" i="3"/>
  <c r="Z160" i="3" s="1"/>
  <c r="Z102" i="3"/>
  <c r="Z154" i="3" s="1"/>
  <c r="Z101" i="3"/>
  <c r="Z153" i="3" s="1"/>
  <c r="Z107" i="3"/>
  <c r="Z159" i="3" s="1"/>
  <c r="Z110" i="3"/>
  <c r="Z162" i="3" s="1"/>
  <c r="Z100" i="3"/>
  <c r="Z152" i="3" s="1"/>
  <c r="Z111" i="3"/>
  <c r="Z163" i="3" s="1"/>
  <c r="T17" i="3"/>
  <c r="Z142" i="3"/>
  <c r="Z143" i="3"/>
  <c r="Z140" i="3"/>
  <c r="Z129" i="3"/>
  <c r="T18" i="3"/>
  <c r="T23" i="3"/>
  <c r="T11" i="3"/>
  <c r="T13" i="3"/>
  <c r="T15" i="3"/>
  <c r="T22" i="3"/>
  <c r="Z84" i="3"/>
  <c r="Z141" i="3" s="1"/>
  <c r="AB20" i="3"/>
  <c r="AB36" i="3" s="1"/>
  <c r="T12" i="3"/>
  <c r="T19" i="3"/>
  <c r="Z94" i="3"/>
  <c r="Z146" i="3" s="1"/>
  <c r="T5" i="3"/>
  <c r="T21" i="3"/>
  <c r="T14" i="3"/>
  <c r="T10" i="3"/>
  <c r="Z109" i="3" l="1"/>
  <c r="Z161" i="3" s="1"/>
  <c r="Z168" i="3" s="1"/>
  <c r="T39" i="3" s="1"/>
  <c r="S39" i="3"/>
  <c r="AB33" i="3"/>
  <c r="S35" i="3" s="1"/>
  <c r="T20" i="3"/>
  <c r="Z121" i="3" l="1"/>
  <c r="T35" i="3" s="1"/>
  <c r="F13" i="1" l="1"/>
  <c r="F14" i="1"/>
  <c r="F17" i="1"/>
  <c r="F18" i="1"/>
  <c r="H18" i="1" s="1"/>
  <c r="F19" i="1"/>
  <c r="F21" i="1"/>
  <c r="F22" i="1"/>
  <c r="F23" i="1"/>
  <c r="F24" i="1"/>
  <c r="F26" i="1"/>
  <c r="F28" i="1"/>
  <c r="H28" i="1" s="1"/>
  <c r="F30" i="1"/>
  <c r="F32" i="1"/>
  <c r="F33" i="1"/>
  <c r="F34" i="1"/>
  <c r="F35" i="1"/>
  <c r="F36" i="1"/>
  <c r="H24" i="1"/>
  <c r="H14" i="1"/>
  <c r="H15" i="1"/>
  <c r="H19" i="1"/>
  <c r="H20" i="1"/>
  <c r="H27" i="1"/>
  <c r="H29" i="1"/>
  <c r="H31" i="1"/>
  <c r="H35" i="1"/>
  <c r="H36" i="1"/>
  <c r="H37" i="1"/>
  <c r="H38" i="1"/>
  <c r="G13" i="1" l="1"/>
  <c r="G14" i="1"/>
  <c r="G17" i="1"/>
  <c r="G18" i="1"/>
  <c r="G19" i="1"/>
  <c r="G22" i="1"/>
  <c r="G23" i="1"/>
  <c r="G24" i="1"/>
  <c r="G28" i="1"/>
  <c r="G30" i="1"/>
  <c r="G32" i="1"/>
  <c r="G33" i="1"/>
  <c r="G35" i="1"/>
  <c r="G36" i="1"/>
  <c r="V35" i="1"/>
  <c r="V36" i="1"/>
  <c r="V37" i="1"/>
  <c r="V38" i="1"/>
  <c r="X37" i="1"/>
  <c r="P35" i="1"/>
  <c r="X35" i="1"/>
  <c r="J35" i="1"/>
  <c r="J37" i="1"/>
  <c r="I35" i="1"/>
  <c r="W35" i="1" s="1"/>
  <c r="T35" i="1"/>
  <c r="P37" i="1"/>
  <c r="T37" i="1"/>
  <c r="AC37" i="1"/>
  <c r="AH37" i="1" s="1"/>
  <c r="AM37" i="1" s="1"/>
  <c r="J38" i="1"/>
  <c r="P38" i="1"/>
  <c r="T38" i="1"/>
  <c r="X38" i="1"/>
  <c r="AC38" i="1"/>
  <c r="AH38" i="1" s="1"/>
  <c r="AM38" i="1" s="1"/>
  <c r="AC35" i="1"/>
  <c r="AH35" i="1" s="1"/>
  <c r="AM35" i="1" s="1"/>
  <c r="Y35" i="1" l="1"/>
  <c r="Y37" i="1"/>
  <c r="I38" i="1"/>
  <c r="W38" i="1" s="1"/>
  <c r="Y38" i="1"/>
  <c r="I37" i="1"/>
  <c r="W37" i="1" s="1"/>
  <c r="P36" i="1" l="1"/>
  <c r="T36" i="1"/>
  <c r="X36" i="1"/>
  <c r="I36" i="1"/>
  <c r="AC36" i="1"/>
  <c r="AH36" i="1" s="1"/>
  <c r="AM36" i="1" s="1"/>
  <c r="AO42" i="1"/>
  <c r="AP42" i="1"/>
  <c r="AN42" i="1"/>
  <c r="AO6" i="1"/>
  <c r="AP6" i="1"/>
  <c r="AO7" i="1"/>
  <c r="AP7" i="1"/>
  <c r="AJ6" i="1"/>
  <c r="AK6" i="1"/>
  <c r="AJ7" i="1"/>
  <c r="AK7" i="1"/>
  <c r="AN44" i="1"/>
  <c r="AI44" i="1"/>
  <c r="N44" i="1"/>
  <c r="O35" i="1" s="1"/>
  <c r="P14" i="1"/>
  <c r="P15" i="1"/>
  <c r="P16" i="1"/>
  <c r="P17" i="1"/>
  <c r="P18" i="1"/>
  <c r="P19" i="1"/>
  <c r="P20" i="1"/>
  <c r="P21" i="1"/>
  <c r="P22" i="1"/>
  <c r="P23" i="1"/>
  <c r="P24" i="1"/>
  <c r="P25" i="1"/>
  <c r="P26" i="1"/>
  <c r="P27" i="1"/>
  <c r="P28" i="1"/>
  <c r="P29" i="1"/>
  <c r="P30" i="1"/>
  <c r="P31" i="1"/>
  <c r="P32" i="1"/>
  <c r="P33" i="1"/>
  <c r="P34" i="1"/>
  <c r="P13" i="1"/>
  <c r="AC6" i="1"/>
  <c r="AH6" i="1" s="1"/>
  <c r="AM6" i="1" s="1"/>
  <c r="AC7" i="1"/>
  <c r="AH7" i="1" s="1"/>
  <c r="AM7" i="1" s="1"/>
  <c r="AC8" i="1"/>
  <c r="AH8" i="1" s="1"/>
  <c r="AM8" i="1" s="1"/>
  <c r="AC9" i="1"/>
  <c r="AH9" i="1" s="1"/>
  <c r="AM9" i="1" s="1"/>
  <c r="AC10" i="1"/>
  <c r="AH10" i="1" s="1"/>
  <c r="AM10" i="1" s="1"/>
  <c r="AC11" i="1"/>
  <c r="AH11" i="1" s="1"/>
  <c r="AM11" i="1" s="1"/>
  <c r="AC12" i="1"/>
  <c r="AH12" i="1" s="1"/>
  <c r="AM12" i="1" s="1"/>
  <c r="AC13" i="1"/>
  <c r="AH13" i="1" s="1"/>
  <c r="AM13" i="1" s="1"/>
  <c r="AC14" i="1"/>
  <c r="AH14" i="1" s="1"/>
  <c r="AM14" i="1" s="1"/>
  <c r="AC15" i="1"/>
  <c r="AH15" i="1" s="1"/>
  <c r="AM15" i="1" s="1"/>
  <c r="AC16" i="1"/>
  <c r="AH16" i="1" s="1"/>
  <c r="AM16" i="1" s="1"/>
  <c r="AC17" i="1"/>
  <c r="AH17" i="1" s="1"/>
  <c r="AM17" i="1" s="1"/>
  <c r="AC18" i="1"/>
  <c r="AH18" i="1" s="1"/>
  <c r="AM18" i="1" s="1"/>
  <c r="AC19" i="1"/>
  <c r="AH19" i="1" s="1"/>
  <c r="AM19" i="1" s="1"/>
  <c r="AC20" i="1"/>
  <c r="AH20" i="1" s="1"/>
  <c r="AM20" i="1" s="1"/>
  <c r="AC21" i="1"/>
  <c r="AH21" i="1" s="1"/>
  <c r="AM21" i="1" s="1"/>
  <c r="AC22" i="1"/>
  <c r="AH22" i="1" s="1"/>
  <c r="AM22" i="1" s="1"/>
  <c r="AC23" i="1"/>
  <c r="AH23" i="1" s="1"/>
  <c r="AM23" i="1" s="1"/>
  <c r="AC24" i="1"/>
  <c r="AH24" i="1" s="1"/>
  <c r="AM24" i="1" s="1"/>
  <c r="AC25" i="1"/>
  <c r="AH25" i="1" s="1"/>
  <c r="AM25" i="1" s="1"/>
  <c r="AC26" i="1"/>
  <c r="AH26" i="1" s="1"/>
  <c r="AM26" i="1" s="1"/>
  <c r="AC27" i="1"/>
  <c r="AH27" i="1" s="1"/>
  <c r="AM27" i="1" s="1"/>
  <c r="AC28" i="1"/>
  <c r="AH28" i="1" s="1"/>
  <c r="AM28" i="1" s="1"/>
  <c r="AC29" i="1"/>
  <c r="AH29" i="1" s="1"/>
  <c r="AM29" i="1" s="1"/>
  <c r="AC30" i="1"/>
  <c r="AH30" i="1" s="1"/>
  <c r="AM30" i="1" s="1"/>
  <c r="AC31" i="1"/>
  <c r="AH31" i="1" s="1"/>
  <c r="AM31" i="1" s="1"/>
  <c r="AC32" i="1"/>
  <c r="AH32" i="1" s="1"/>
  <c r="AM32" i="1" s="1"/>
  <c r="AC33" i="1"/>
  <c r="AH33" i="1" s="1"/>
  <c r="AM33" i="1" s="1"/>
  <c r="AC34" i="1"/>
  <c r="AH34" i="1" s="1"/>
  <c r="AM34" i="1" s="1"/>
  <c r="AC5" i="1"/>
  <c r="AH5" i="1" s="1"/>
  <c r="AM5" i="1" s="1"/>
  <c r="I9" i="1"/>
  <c r="AO9" i="1" s="1"/>
  <c r="J9" i="1"/>
  <c r="AP9" i="1" s="1"/>
  <c r="AD44" i="1"/>
  <c r="AE6" i="1"/>
  <c r="AF6" i="1"/>
  <c r="AE7" i="1"/>
  <c r="AF7"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V6" i="1"/>
  <c r="V7" i="1"/>
  <c r="W7" i="1" s="1"/>
  <c r="V8" i="1"/>
  <c r="V9" i="1"/>
  <c r="V10" i="1"/>
  <c r="V11" i="1"/>
  <c r="V12" i="1"/>
  <c r="V13" i="1"/>
  <c r="V14" i="1"/>
  <c r="V15" i="1"/>
  <c r="V16" i="1"/>
  <c r="V17" i="1"/>
  <c r="V18" i="1"/>
  <c r="V19" i="1"/>
  <c r="V20" i="1"/>
  <c r="V21" i="1"/>
  <c r="V22" i="1"/>
  <c r="V23" i="1"/>
  <c r="V24" i="1"/>
  <c r="V25" i="1"/>
  <c r="V26" i="1"/>
  <c r="V27" i="1"/>
  <c r="V28" i="1"/>
  <c r="V29" i="1"/>
  <c r="V30" i="1"/>
  <c r="V31" i="1"/>
  <c r="V32" i="1"/>
  <c r="V33" i="1"/>
  <c r="V34" i="1"/>
  <c r="V5" i="1"/>
  <c r="E5" i="1"/>
  <c r="I5" i="1" s="1"/>
  <c r="AO5" i="1" s="1"/>
  <c r="U6" i="1"/>
  <c r="U7" i="1" s="1"/>
  <c r="U8" i="1" s="1"/>
  <c r="U9" i="1" s="1"/>
  <c r="U10" i="1" s="1"/>
  <c r="U11" i="1" s="1"/>
  <c r="U12" i="1" s="1"/>
  <c r="U13" i="1" s="1"/>
  <c r="U14" i="1" s="1"/>
  <c r="U15" i="1" s="1"/>
  <c r="U16" i="1" s="1"/>
  <c r="U17" i="1" s="1"/>
  <c r="U18" i="1" s="1"/>
  <c r="U19" i="1" s="1"/>
  <c r="U20" i="1" s="1"/>
  <c r="U21" i="1" s="1"/>
  <c r="U22" i="1" s="1"/>
  <c r="U23" i="1" s="1"/>
  <c r="U24" i="1" s="1"/>
  <c r="U25" i="1" s="1"/>
  <c r="U26" i="1" s="1"/>
  <c r="U27" i="1" s="1"/>
  <c r="U28" i="1" s="1"/>
  <c r="U29" i="1" s="1"/>
  <c r="U30" i="1" s="1"/>
  <c r="U31" i="1" s="1"/>
  <c r="U32" i="1" s="1"/>
  <c r="U33" i="1" s="1"/>
  <c r="U34" i="1" s="1"/>
  <c r="S6" i="1"/>
  <c r="S7" i="1" s="1"/>
  <c r="S8" i="1" s="1"/>
  <c r="S9" i="1" s="1"/>
  <c r="S10" i="1" s="1"/>
  <c r="S11" i="1" s="1"/>
  <c r="S12" i="1" s="1"/>
  <c r="S13" i="1" s="1"/>
  <c r="S14" i="1" s="1"/>
  <c r="S15" i="1" s="1"/>
  <c r="S16" i="1" s="1"/>
  <c r="S17" i="1" s="1"/>
  <c r="S18" i="1" s="1"/>
  <c r="S19" i="1" s="1"/>
  <c r="S20" i="1" s="1"/>
  <c r="S21" i="1" s="1"/>
  <c r="S22" i="1" s="1"/>
  <c r="S23" i="1" s="1"/>
  <c r="S24" i="1" s="1"/>
  <c r="S25" i="1" s="1"/>
  <c r="S26" i="1" s="1"/>
  <c r="S27" i="1" s="1"/>
  <c r="S28" i="1" s="1"/>
  <c r="S29" i="1" s="1"/>
  <c r="S30" i="1" s="1"/>
  <c r="S31" i="1" s="1"/>
  <c r="S32" i="1" s="1"/>
  <c r="S33" i="1" s="1"/>
  <c r="S34" i="1" s="1"/>
  <c r="U36" i="1" l="1"/>
  <c r="U38" i="1" s="1"/>
  <c r="L38" i="1" s="1"/>
  <c r="U35" i="1"/>
  <c r="O10" i="1"/>
  <c r="O38" i="1"/>
  <c r="O37" i="1"/>
  <c r="W36" i="1"/>
  <c r="J36" i="1"/>
  <c r="Y36" i="1" s="1"/>
  <c r="L36" i="1" s="1"/>
  <c r="O36" i="1"/>
  <c r="AJ5" i="1"/>
  <c r="AK9" i="1"/>
  <c r="AJ9" i="1"/>
  <c r="H61" i="1"/>
  <c r="J5" i="1"/>
  <c r="Y5" i="1" s="1"/>
  <c r="L5" i="1" s="1"/>
  <c r="K7" i="1"/>
  <c r="W6" i="1"/>
  <c r="K6" i="1" s="1"/>
  <c r="Y7" i="1"/>
  <c r="L7" i="1" s="1"/>
  <c r="W5" i="1"/>
  <c r="K5" i="1" s="1"/>
  <c r="Y6" i="1"/>
  <c r="L6" i="1" s="1"/>
  <c r="O33" i="1"/>
  <c r="O17" i="1"/>
  <c r="O9" i="1"/>
  <c r="O32" i="1"/>
  <c r="O24" i="1"/>
  <c r="O16" i="1"/>
  <c r="O8" i="1"/>
  <c r="O31" i="1"/>
  <c r="O15" i="1"/>
  <c r="O22" i="1"/>
  <c r="O6" i="1"/>
  <c r="O29" i="1"/>
  <c r="O21" i="1"/>
  <c r="O13" i="1"/>
  <c r="O44" i="1"/>
  <c r="O28" i="1"/>
  <c r="O20" i="1"/>
  <c r="O12" i="1"/>
  <c r="O5" i="1"/>
  <c r="O27" i="1"/>
  <c r="O19" i="1"/>
  <c r="O11" i="1"/>
  <c r="O25" i="1"/>
  <c r="O23" i="1"/>
  <c r="O7" i="1"/>
  <c r="O30" i="1"/>
  <c r="O14" i="1"/>
  <c r="O34" i="1"/>
  <c r="O26" i="1"/>
  <c r="O18" i="1"/>
  <c r="J10" i="1"/>
  <c r="I11" i="1"/>
  <c r="J11" i="1"/>
  <c r="I12" i="1"/>
  <c r="J12" i="1"/>
  <c r="J13" i="1"/>
  <c r="I15" i="1"/>
  <c r="J17" i="1"/>
  <c r="I20" i="1"/>
  <c r="J22" i="1"/>
  <c r="J23" i="1"/>
  <c r="I25" i="1"/>
  <c r="J25" i="1"/>
  <c r="J26" i="1"/>
  <c r="J30" i="1"/>
  <c r="I31" i="1"/>
  <c r="J32" i="1"/>
  <c r="J33" i="1"/>
  <c r="J34" i="1"/>
  <c r="J53" i="1"/>
  <c r="F53" i="1"/>
  <c r="I53" i="1" s="1"/>
  <c r="F51" i="1"/>
  <c r="I51" i="1" s="1"/>
  <c r="F52" i="1"/>
  <c r="I52" i="1" s="1"/>
  <c r="F50" i="1"/>
  <c r="I50" i="1" s="1"/>
  <c r="H50" i="1"/>
  <c r="J50" i="1" s="1"/>
  <c r="H51" i="1"/>
  <c r="J51" i="1" s="1"/>
  <c r="J20" i="1"/>
  <c r="J15" i="1"/>
  <c r="I34" i="1"/>
  <c r="I33" i="1"/>
  <c r="I32" i="1"/>
  <c r="H52" i="1"/>
  <c r="J52" i="1" s="1"/>
  <c r="I30" i="1"/>
  <c r="J28" i="1"/>
  <c r="J27" i="1"/>
  <c r="I26" i="1"/>
  <c r="J24" i="1"/>
  <c r="I23" i="1"/>
  <c r="I22" i="1"/>
  <c r="I21" i="1"/>
  <c r="I19" i="1"/>
  <c r="I18" i="1"/>
  <c r="I17" i="1"/>
  <c r="I14" i="1"/>
  <c r="I13" i="1"/>
  <c r="I10" i="1"/>
  <c r="J8" i="1"/>
  <c r="I8" i="1"/>
  <c r="U37" i="1" l="1"/>
  <c r="L37" i="1" s="1"/>
  <c r="L35" i="1"/>
  <c r="AP5" i="1"/>
  <c r="AK5" i="1"/>
  <c r="AO19" i="1"/>
  <c r="AJ19" i="1"/>
  <c r="AP33" i="1"/>
  <c r="AK33" i="1"/>
  <c r="AP22" i="1"/>
  <c r="AK22" i="1"/>
  <c r="AO11" i="1"/>
  <c r="AJ11" i="1"/>
  <c r="AO8" i="1"/>
  <c r="AJ8" i="1"/>
  <c r="AO21" i="1"/>
  <c r="AJ21" i="1"/>
  <c r="AO30" i="1"/>
  <c r="AJ30" i="1"/>
  <c r="AP32" i="1"/>
  <c r="AK32" i="1"/>
  <c r="AO20" i="1"/>
  <c r="AJ20" i="1"/>
  <c r="AP10" i="1"/>
  <c r="AK10" i="1"/>
  <c r="AP8" i="1"/>
  <c r="AK8" i="1"/>
  <c r="AO22" i="1"/>
  <c r="AJ22" i="1"/>
  <c r="AO31" i="1"/>
  <c r="AJ31" i="1"/>
  <c r="AP17" i="1"/>
  <c r="AK17" i="1"/>
  <c r="AO10" i="1"/>
  <c r="AJ10" i="1"/>
  <c r="AO23" i="1"/>
  <c r="AJ23" i="1"/>
  <c r="AO32" i="1"/>
  <c r="AJ32" i="1"/>
  <c r="AP30" i="1"/>
  <c r="AK30" i="1"/>
  <c r="AO15" i="1"/>
  <c r="AJ15" i="1"/>
  <c r="AO13" i="1"/>
  <c r="AJ13" i="1"/>
  <c r="AP24" i="1"/>
  <c r="AK24" i="1"/>
  <c r="AO33" i="1"/>
  <c r="AJ33" i="1"/>
  <c r="AP26" i="1"/>
  <c r="AK26" i="1"/>
  <c r="AP13" i="1"/>
  <c r="AK13" i="1"/>
  <c r="AO14" i="1"/>
  <c r="AJ14" i="1"/>
  <c r="AO26" i="1"/>
  <c r="AJ26" i="1"/>
  <c r="AO34" i="1"/>
  <c r="AJ34" i="1"/>
  <c r="AP25" i="1"/>
  <c r="AK25" i="1"/>
  <c r="AP12" i="1"/>
  <c r="AK12" i="1"/>
  <c r="AO17" i="1"/>
  <c r="AJ17" i="1"/>
  <c r="AP15" i="1"/>
  <c r="AK15" i="1"/>
  <c r="AO25" i="1"/>
  <c r="AJ25" i="1"/>
  <c r="AO12" i="1"/>
  <c r="AJ12" i="1"/>
  <c r="AO18" i="1"/>
  <c r="AJ18" i="1"/>
  <c r="AP28" i="1"/>
  <c r="AK28" i="1"/>
  <c r="AP20" i="1"/>
  <c r="AK20" i="1"/>
  <c r="AP34" i="1"/>
  <c r="AK34" i="1"/>
  <c r="AP23" i="1"/>
  <c r="AK23" i="1"/>
  <c r="AP11" i="1"/>
  <c r="AK11" i="1"/>
  <c r="AK27" i="1"/>
  <c r="AP27" i="1"/>
  <c r="AF5" i="1"/>
  <c r="AE5" i="1"/>
  <c r="W19" i="1"/>
  <c r="K19" i="1" s="1"/>
  <c r="AE19" i="1"/>
  <c r="Y33" i="1"/>
  <c r="L33" i="1" s="1"/>
  <c r="AF33" i="1"/>
  <c r="Y22" i="1"/>
  <c r="L22" i="1" s="1"/>
  <c r="AF22" i="1"/>
  <c r="W11" i="1"/>
  <c r="K11" i="1" s="1"/>
  <c r="AE11" i="1"/>
  <c r="W9" i="1"/>
  <c r="K9" i="1" s="1"/>
  <c r="AE9" i="1"/>
  <c r="W21" i="1"/>
  <c r="K21" i="1" s="1"/>
  <c r="AE21" i="1"/>
  <c r="W30" i="1"/>
  <c r="K30" i="1" s="1"/>
  <c r="AE30" i="1"/>
  <c r="Y32" i="1"/>
  <c r="L32" i="1" s="1"/>
  <c r="AF32" i="1"/>
  <c r="W20" i="1"/>
  <c r="K20" i="1" s="1"/>
  <c r="AE20" i="1"/>
  <c r="Y10" i="1"/>
  <c r="L10" i="1" s="1"/>
  <c r="AF10" i="1"/>
  <c r="Y8" i="1"/>
  <c r="L8" i="1" s="1"/>
  <c r="AF8" i="1"/>
  <c r="Y9" i="1"/>
  <c r="L9" i="1" s="1"/>
  <c r="AF9" i="1"/>
  <c r="W22" i="1"/>
  <c r="K22" i="1" s="1"/>
  <c r="AE22" i="1"/>
  <c r="W31" i="1"/>
  <c r="K31" i="1" s="1"/>
  <c r="AE31" i="1"/>
  <c r="Y17" i="1"/>
  <c r="L17" i="1" s="1"/>
  <c r="AF17" i="1"/>
  <c r="W10" i="1"/>
  <c r="K10" i="1" s="1"/>
  <c r="AE10" i="1"/>
  <c r="W23" i="1"/>
  <c r="K23" i="1" s="1"/>
  <c r="AE23" i="1"/>
  <c r="W32" i="1"/>
  <c r="K32" i="1" s="1"/>
  <c r="AE32" i="1"/>
  <c r="Y30" i="1"/>
  <c r="L30" i="1" s="1"/>
  <c r="AF30" i="1"/>
  <c r="W15" i="1"/>
  <c r="K15" i="1" s="1"/>
  <c r="AE15" i="1"/>
  <c r="W13" i="1"/>
  <c r="K13" i="1" s="1"/>
  <c r="AE13" i="1"/>
  <c r="Y24" i="1"/>
  <c r="L24" i="1" s="1"/>
  <c r="AF24" i="1"/>
  <c r="W33" i="1"/>
  <c r="K33" i="1" s="1"/>
  <c r="AE33" i="1"/>
  <c r="Y26" i="1"/>
  <c r="L26" i="1" s="1"/>
  <c r="AF26" i="1"/>
  <c r="Y13" i="1"/>
  <c r="L13" i="1" s="1"/>
  <c r="AF13" i="1"/>
  <c r="W14" i="1"/>
  <c r="K14" i="1" s="1"/>
  <c r="AE14" i="1"/>
  <c r="W26" i="1"/>
  <c r="K26" i="1" s="1"/>
  <c r="AE26" i="1"/>
  <c r="W34" i="1"/>
  <c r="K34" i="1" s="1"/>
  <c r="AE34" i="1"/>
  <c r="Y25" i="1"/>
  <c r="L25" i="1" s="1"/>
  <c r="AF25" i="1"/>
  <c r="Y12" i="1"/>
  <c r="L12" i="1" s="1"/>
  <c r="AF12" i="1"/>
  <c r="W17" i="1"/>
  <c r="K17" i="1" s="1"/>
  <c r="AE17" i="1"/>
  <c r="Y27" i="1"/>
  <c r="L27" i="1" s="1"/>
  <c r="AF27" i="1"/>
  <c r="Y15" i="1"/>
  <c r="L15" i="1" s="1"/>
  <c r="AF15" i="1"/>
  <c r="W25" i="1"/>
  <c r="K25" i="1" s="1"/>
  <c r="AE25" i="1"/>
  <c r="W12" i="1"/>
  <c r="K12" i="1" s="1"/>
  <c r="AE12" i="1"/>
  <c r="W8" i="1"/>
  <c r="K8" i="1" s="1"/>
  <c r="AE8" i="1"/>
  <c r="W18" i="1"/>
  <c r="K18" i="1" s="1"/>
  <c r="AE18" i="1"/>
  <c r="Y28" i="1"/>
  <c r="L28" i="1" s="1"/>
  <c r="AF28" i="1"/>
  <c r="Y20" i="1"/>
  <c r="L20" i="1" s="1"/>
  <c r="AF20" i="1"/>
  <c r="Y34" i="1"/>
  <c r="L34" i="1" s="1"/>
  <c r="AF34" i="1"/>
  <c r="Y23" i="1"/>
  <c r="L23" i="1" s="1"/>
  <c r="AF23" i="1"/>
  <c r="Y11" i="1"/>
  <c r="L11" i="1" s="1"/>
  <c r="AF11" i="1"/>
  <c r="I28" i="1"/>
  <c r="J14" i="1"/>
  <c r="J18" i="1"/>
  <c r="J19" i="1"/>
  <c r="I24" i="1"/>
  <c r="I27" i="1"/>
  <c r="J31" i="1"/>
  <c r="J21" i="1"/>
  <c r="AP31" i="1" l="1"/>
  <c r="AK31" i="1"/>
  <c r="AO24" i="1"/>
  <c r="AJ24" i="1"/>
  <c r="AP19" i="1"/>
  <c r="AK19" i="1"/>
  <c r="AP21" i="1"/>
  <c r="AK21" i="1"/>
  <c r="AP14" i="1"/>
  <c r="AK14" i="1"/>
  <c r="AP18" i="1"/>
  <c r="AK18" i="1"/>
  <c r="AO28" i="1"/>
  <c r="AJ28" i="1"/>
  <c r="AJ27" i="1"/>
  <c r="AO27" i="1"/>
  <c r="Y14" i="1"/>
  <c r="L14" i="1" s="1"/>
  <c r="AF14" i="1"/>
  <c r="W28" i="1"/>
  <c r="K28" i="1" s="1"/>
  <c r="AE28" i="1"/>
  <c r="Y21" i="1"/>
  <c r="L21" i="1" s="1"/>
  <c r="AF21" i="1"/>
  <c r="W27" i="1"/>
  <c r="K27" i="1" s="1"/>
  <c r="AE27" i="1"/>
  <c r="W24" i="1"/>
  <c r="K24" i="1" s="1"/>
  <c r="AE24" i="1"/>
  <c r="Y18" i="1"/>
  <c r="L18" i="1" s="1"/>
  <c r="AF18" i="1"/>
  <c r="Y31" i="1"/>
  <c r="L31" i="1" s="1"/>
  <c r="AF31" i="1"/>
  <c r="Y19" i="1"/>
  <c r="L19" i="1" s="1"/>
  <c r="AF19" i="1"/>
  <c r="E29" i="1"/>
  <c r="E48" i="1" s="1"/>
  <c r="E16" i="1"/>
  <c r="F16" i="1" s="1"/>
  <c r="G16" i="1" s="1"/>
  <c r="E47" i="1" l="1"/>
  <c r="I16" i="1"/>
  <c r="J16" i="1"/>
  <c r="I29" i="1"/>
  <c r="J29" i="1"/>
  <c r="AP29" i="1" l="1"/>
  <c r="AK29" i="1"/>
  <c r="AO29" i="1"/>
  <c r="AJ29" i="1"/>
  <c r="AP16" i="1"/>
  <c r="AP44" i="1" s="1"/>
  <c r="AP45" i="1" s="1"/>
  <c r="AK16" i="1"/>
  <c r="AK44" i="1" s="1"/>
  <c r="AK45" i="1" s="1"/>
  <c r="AO16" i="1"/>
  <c r="AJ16" i="1"/>
  <c r="J57" i="1"/>
  <c r="J45" i="1"/>
  <c r="J56" i="1"/>
  <c r="J44" i="1"/>
  <c r="I44" i="1"/>
  <c r="I45" i="1"/>
  <c r="I57" i="1"/>
  <c r="I56" i="1"/>
  <c r="I61" i="1"/>
  <c r="AF16" i="1"/>
  <c r="J61" i="1"/>
  <c r="AE16" i="1"/>
  <c r="Y29" i="1"/>
  <c r="L29" i="1" s="1"/>
  <c r="AF29" i="1"/>
  <c r="W29" i="1"/>
  <c r="K29" i="1" s="1"/>
  <c r="AE29" i="1"/>
  <c r="Y16" i="1"/>
  <c r="W16" i="1"/>
  <c r="AO44" i="1" l="1"/>
  <c r="AO45" i="1" s="1"/>
  <c r="AJ44" i="1"/>
  <c r="AJ45" i="1" s="1"/>
  <c r="AF44" i="1"/>
  <c r="AF45" i="1" s="1"/>
  <c r="AE44" i="1"/>
  <c r="AE45" i="1" s="1"/>
  <c r="K16" i="1"/>
  <c r="L16" i="1"/>
  <c r="K44" i="1" l="1"/>
  <c r="K56" i="1"/>
  <c r="K45" i="1"/>
  <c r="K57" i="1"/>
  <c r="L56" i="1"/>
  <c r="L57" i="1"/>
  <c r="L45" i="1"/>
  <c r="L44" i="1"/>
</calcChain>
</file>

<file path=xl/sharedStrings.xml><?xml version="1.0" encoding="utf-8"?>
<sst xmlns="http://schemas.openxmlformats.org/spreadsheetml/2006/main" count="449" uniqueCount="213">
  <si>
    <t>Entendre Finance</t>
  </si>
  <si>
    <t>Crowdz</t>
  </si>
  <si>
    <t>Bleximo</t>
  </si>
  <si>
    <t>Biofire</t>
  </si>
  <si>
    <t>Natrion</t>
  </si>
  <si>
    <t>TrueFoundry</t>
  </si>
  <si>
    <t>Block Green</t>
  </si>
  <si>
    <t>Veri Labs</t>
  </si>
  <si>
    <t>Entheos Network</t>
  </si>
  <si>
    <t>Eve Nexus</t>
  </si>
  <si>
    <t>Ather Digital</t>
  </si>
  <si>
    <t>Figure AI</t>
  </si>
  <si>
    <t>Turion Space</t>
  </si>
  <si>
    <t>RWA.xyz</t>
  </si>
  <si>
    <t>Princeton NuEnergy</t>
  </si>
  <si>
    <t>Hephaestus</t>
  </si>
  <si>
    <t>Innerworks</t>
  </si>
  <si>
    <t>Dirac</t>
  </si>
  <si>
    <t>Marathon Fusion</t>
  </si>
  <si>
    <t>Puris</t>
  </si>
  <si>
    <t>Mooala</t>
  </si>
  <si>
    <t>KAYA</t>
  </si>
  <si>
    <t>Pico</t>
  </si>
  <si>
    <t>Pierisca (Jul-21)</t>
  </si>
  <si>
    <t>Piersica (Jul-23)</t>
  </si>
  <si>
    <t>Entry</t>
  </si>
  <si>
    <t>Dec-24E</t>
  </si>
  <si>
    <t>Unsure</t>
  </si>
  <si>
    <t>Quantinuum</t>
  </si>
  <si>
    <t>Smerf (Jan-23)</t>
  </si>
  <si>
    <t>ALL.SPACE (Jul-20 Convert)</t>
  </si>
  <si>
    <t>Emerge (Jun-23)</t>
  </si>
  <si>
    <t>Scout AI (Jan-24)</t>
  </si>
  <si>
    <t>Emerge (Jan-24)</t>
  </si>
  <si>
    <t>Smerf (Jan-24)</t>
  </si>
  <si>
    <t>MOIC</t>
  </si>
  <si>
    <t>$</t>
  </si>
  <si>
    <t>Weighting</t>
  </si>
  <si>
    <t>ALL.SPACE (Aug-21 Series B)</t>
  </si>
  <si>
    <t>Dec-23E</t>
  </si>
  <si>
    <t>IRR - Dates</t>
  </si>
  <si>
    <t>IRR</t>
  </si>
  <si>
    <t>Dec-23</t>
  </si>
  <si>
    <t>IRR - $$$</t>
  </si>
  <si>
    <t>Investment</t>
  </si>
  <si>
    <t>Total Deal Count</t>
  </si>
  <si>
    <t>2023 Deal Count</t>
  </si>
  <si>
    <t>Roger Dunteman</t>
  </si>
  <si>
    <t>Inv. Cap.</t>
  </si>
  <si>
    <t>Value</t>
  </si>
  <si>
    <t>$ in millions</t>
  </si>
  <si>
    <t>No update from Firmament -- holding at cost</t>
  </si>
  <si>
    <t>Raised Series C down round in 1H '23; assumes 2024 up-round to $300M given positive momentum in the business</t>
  </si>
  <si>
    <t>KAYA raised a down round in Q4 '22; assumes 2024 up-round given strong user growth and gym revenue</t>
  </si>
  <si>
    <t>Raised insider round w/ $19M val. cap; hitting technical milestones now to support assumed 2024 Series A at $40M val.</t>
  </si>
  <si>
    <t>Starting to grow top-line, trending toward $250K ARR by Q1 '24; assumes slight up-round to $20M by end of 2024</t>
  </si>
  <si>
    <t>No update from lead investor -- holding at cost</t>
  </si>
  <si>
    <t>Biofire releasing guns in Q1 '24; supports assumed Series B round in 2H '24 at $150M valuation</t>
  </si>
  <si>
    <t>Natrion currently in-market to raise at minimum $60M valuation in Q1 '24 w/ support from GM, could be as high as $100M</t>
  </si>
  <si>
    <t>CEO passed away; sale has been unsuccessful but still a remote possibility the IP has value; assuming zero for conservatism</t>
  </si>
  <si>
    <t>Sold to strategic buyer in a fire-sale; earn-out component likely to not be realized per CEO, so marking as zero</t>
  </si>
  <si>
    <t>No update -- holding at cost</t>
  </si>
  <si>
    <t>Tried to raise Series A up-round in 2H '23 but has been difficult despite progressing well; holding at cost for Dec-24 but could raise big up round</t>
  </si>
  <si>
    <t>Company has wound down -- tried to raise seed round in mid-2023 but had low interest given state of crypto markets and low runway</t>
  </si>
  <si>
    <t>Almost finished raising SAFE at $7.5M post-money valuation -- expect to raise at $20M+ post-money valuation in 1H '24</t>
  </si>
  <si>
    <t>Expecting to raise up-round in 2024 in the  $1.0B-$2.0B valuation range from a large strategic (Walmart, Target, Amazon, etc.)</t>
  </si>
  <si>
    <t>Raised Series A at same valuation as the SAFE investment; holding at cost for 2024 because up-round will likely come in 2025</t>
  </si>
  <si>
    <t>Doing very well and could raise Series A up-round in 2H '24 but holding at cost for conservatism; more likely that they raise in 2025</t>
  </si>
  <si>
    <t>Targeting $80M post-money valuation for Q1 '24 Series B-2 raise; could exit at much higher valuation given exploring sale to Apple or Meta</t>
  </si>
  <si>
    <t>Expecting to raise at $40M-$50M post-money valuation in Q1 '24 -- tons of interest</t>
  </si>
  <si>
    <t>Raising seed round in Q1 '24 and already preempted by a VC w/ a $25M post-money valuation</t>
  </si>
  <si>
    <t>Raising seed round in Q1 '24, expected at $20M+ post-money valuation given traction w/ customers</t>
  </si>
  <si>
    <t>Converted into Series A in Q1 '24, received slight discount to current round valuation</t>
  </si>
  <si>
    <t>Finalizing huge up-round at $5.5B valuation, expected to close in Q1 '24</t>
  </si>
  <si>
    <t>Current</t>
  </si>
  <si>
    <t>Implied Portfolio Value</t>
  </si>
  <si>
    <t>Total Portfolio</t>
  </si>
  <si>
    <t>Prescience-Only (excl. Firmament)</t>
  </si>
  <si>
    <t>% Contr. (Total)</t>
  </si>
  <si>
    <t>% Contr. (Pr.-Only)</t>
  </si>
  <si>
    <t>Total Value</t>
  </si>
  <si>
    <t>Kurt Dunteman</t>
  </si>
  <si>
    <t>Rich Hackett</t>
  </si>
  <si>
    <t>Company Update</t>
  </si>
  <si>
    <t>Ongoing Series A fundraise -- valuation will likely be an up-round at $200-$300M post-money</t>
  </si>
  <si>
    <t>Raising Series A in Q1 '24 -- should be a good up-round to $40-$60M post-money valuation (showing at $50M)</t>
  </si>
  <si>
    <t>Average Deal-Level MOIC / IRR</t>
  </si>
  <si>
    <t>$-Weighted Portfolio MOIC / IRR</t>
  </si>
  <si>
    <t>Prescience Ventures - Current and Projected Valuation + Returns</t>
  </si>
  <si>
    <r>
      <rPr>
        <b/>
        <u/>
        <sz val="12"/>
        <color theme="1"/>
        <rFont val="Calibri (Body)"/>
      </rPr>
      <t>Note:</t>
    </r>
    <r>
      <rPr>
        <sz val="12"/>
        <color theme="1"/>
        <rFont val="Calibri"/>
        <family val="2"/>
        <scheme val="minor"/>
      </rPr>
      <t xml:space="preserve"> Dec-24E returns do not include dilution impact of up-rounds, which typically ranges anywhere from 10-20%; actual MOIC / IRR will be slightly lower</t>
    </r>
  </si>
  <si>
    <t>Company Valuation</t>
  </si>
  <si>
    <t>Company has wound down given inability to fundraise effectively -- will try to sell battery software patent IP to provide residual dividend in future</t>
  </si>
  <si>
    <t>Merging w/ VersiFi and investor equity value to still be held at cost post-transaction</t>
  </si>
  <si>
    <t>Scout AI (Pre-Seed 2)</t>
  </si>
  <si>
    <t>Scout AI (Pre-Seed 1)</t>
  </si>
  <si>
    <t>Dec-23A</t>
  </si>
  <si>
    <t>Apr-24A</t>
  </si>
  <si>
    <t>Realized?</t>
  </si>
  <si>
    <t>N</t>
  </si>
  <si>
    <t>Include?</t>
  </si>
  <si>
    <t>Y</t>
  </si>
  <si>
    <t>Primitive</t>
  </si>
  <si>
    <t>Date</t>
  </si>
  <si>
    <t>Series A</t>
  </si>
  <si>
    <t>Series B</t>
  </si>
  <si>
    <t>Round Approx.</t>
  </si>
  <si>
    <t>Pre-Seed</t>
  </si>
  <si>
    <t>Seed</t>
  </si>
  <si>
    <t>% Total Inv.</t>
  </si>
  <si>
    <t>Category</t>
  </si>
  <si>
    <t>Description</t>
  </si>
  <si>
    <t>Integrated general-purpose quantum computing</t>
  </si>
  <si>
    <t>Superconducting quantum computing chips</t>
  </si>
  <si>
    <t>Polymer-based solid-state battery separator</t>
  </si>
  <si>
    <t>Full-stack solid-state batteries</t>
  </si>
  <si>
    <t>MLOps platform</t>
  </si>
  <si>
    <t>Software-enabled grid-scale battery controllers</t>
  </si>
  <si>
    <t>Humanoid robotics</t>
  </si>
  <si>
    <t>AI agent-based automation for engineering workflows</t>
  </si>
  <si>
    <t>Next-gen EV automaker (in stealth)</t>
  </si>
  <si>
    <t>AI-powered fusion energy reactor (in stealth)</t>
  </si>
  <si>
    <t>AI-supported work instruction automation for manufacturers</t>
  </si>
  <si>
    <t>Plasma-based battery recycling technology</t>
  </si>
  <si>
    <t>IRR CALCULATIONS</t>
  </si>
  <si>
    <t>Fusion reactor tritium breeding fuel technology</t>
  </si>
  <si>
    <t>Key Investors</t>
  </si>
  <si>
    <t>$ Inv.</t>
  </si>
  <si>
    <t>HQ Location</t>
  </si>
  <si>
    <t>Broomfield, CO / London, UK</t>
  </si>
  <si>
    <t>Miami, FL</t>
  </si>
  <si>
    <t>New York, NY</t>
  </si>
  <si>
    <t>San Francisco, CA</t>
  </si>
  <si>
    <t>Champaign, IL</t>
  </si>
  <si>
    <t>Princeton, NJ</t>
  </si>
  <si>
    <t>London, UK</t>
  </si>
  <si>
    <t>Sequoia India, Naval Ravikant</t>
  </si>
  <si>
    <t>ChapterOne, Blizzard</t>
  </si>
  <si>
    <t>Tamarack Global, Egon Durban</t>
  </si>
  <si>
    <t>OpenAI, Microsoft, NVIDIA, Tamarack Global</t>
  </si>
  <si>
    <t>Shell Ventures, Honda, Wistron</t>
  </si>
  <si>
    <t>Seraph Capital, Climate Capital</t>
  </si>
  <si>
    <t>1517 Fund</t>
  </si>
  <si>
    <t>Founders Fund, Coatue</t>
  </si>
  <si>
    <t>Drive Capital, Celesta Capital, First Spark Ventures</t>
  </si>
  <si>
    <t>Unruly Capital, Climate Capital</t>
  </si>
  <si>
    <t>Blue Energy</t>
  </si>
  <si>
    <t>Zap Energy</t>
  </si>
  <si>
    <t>Archera</t>
  </si>
  <si>
    <t>Dilution (1)</t>
  </si>
  <si>
    <t>Atom Computing</t>
  </si>
  <si>
    <t>Neutral-atom quantum computing hardware</t>
  </si>
  <si>
    <t>EVE Nexus</t>
  </si>
  <si>
    <t>Series D</t>
  </si>
  <si>
    <t>Scout Ventures, ENIAC Ventures, Boost VC</t>
  </si>
  <si>
    <t>Soros, Lowercarbon, Addition, DCVC</t>
  </si>
  <si>
    <t>HighSage Ventures, Amplify Partners</t>
  </si>
  <si>
    <t>Engine Ventures, Tamarack Global</t>
  </si>
  <si>
    <t>Modular, low-cost nuclear reactor deployment platform</t>
  </si>
  <si>
    <t>Seattle, WA</t>
  </si>
  <si>
    <t>Developer platform for semi hardware design and deployment</t>
  </si>
  <si>
    <t>Cloud commit insurance and infrastructure mgmt. platform</t>
  </si>
  <si>
    <t>Valar Atomics</t>
  </si>
  <si>
    <t>El Segundo, CA</t>
  </si>
  <si>
    <t>Riot Ventures, Initialized Capital, AlleyCorp</t>
  </si>
  <si>
    <t>Honeywell, DCVC, IBM Ventures</t>
  </si>
  <si>
    <t>Tamarack Global, YC, Mark Cuban</t>
  </si>
  <si>
    <t>Fusion energy reactor developer</t>
  </si>
  <si>
    <t>AI-powered bot mitigation &amp; identity platform</t>
  </si>
  <si>
    <t>Energy</t>
  </si>
  <si>
    <t>Consumer</t>
  </si>
  <si>
    <t>Quantum Computing</t>
  </si>
  <si>
    <t>Enterprise SaaS</t>
  </si>
  <si>
    <t>Hydrocarbon production via nuclear energy generation</t>
  </si>
  <si>
    <t>Albion VC, a16z Scout Fund, Draper Associates</t>
  </si>
  <si>
    <t>Resolute Ventures, Impatient Ventures</t>
  </si>
  <si>
    <t>Horizontal AI</t>
  </si>
  <si>
    <t>Robotics</t>
  </si>
  <si>
    <t>Third Point Ventures, Prime Movers, Venrock</t>
  </si>
  <si>
    <t>Berkeley, CA</t>
  </si>
  <si>
    <t>Invested Capital</t>
  </si>
  <si>
    <t>NFDG</t>
  </si>
  <si>
    <t>Agentic AI automation for cybersecurity operations</t>
  </si>
  <si>
    <t>Composite Security</t>
  </si>
  <si>
    <t>Antithesis</t>
  </si>
  <si>
    <t>Carry</t>
  </si>
  <si>
    <t>Net IRR</t>
  </si>
  <si>
    <t>Net MOIC Helper</t>
  </si>
  <si>
    <t>Autonomous software testing platform for distributed systems</t>
  </si>
  <si>
    <t>Washington, D.C.</t>
  </si>
  <si>
    <t xml:space="preserve">London, UK </t>
  </si>
  <si>
    <t>Notes</t>
  </si>
  <si>
    <t>(1) Normal Computing investment is a share award (given in lieu of direct investment) with current value marked at the total award value and cost marked at the Seed valuation.</t>
  </si>
  <si>
    <t>Median Deal-Level MOIC</t>
  </si>
  <si>
    <t>Portfolio Returns</t>
  </si>
  <si>
    <t>Total Portfolio Returns</t>
  </si>
  <si>
    <t>"Embedded Portfolio" (Excluding LTM Period)</t>
  </si>
  <si>
    <t>Portfolio Company Count</t>
  </si>
  <si>
    <t>Hardtech AI</t>
  </si>
  <si>
    <t>Hardtech AI / Semis</t>
  </si>
  <si>
    <t>Dillon Dunteman Personal Portfolio — Valuation and Returns</t>
  </si>
  <si>
    <t>Haiqu</t>
  </si>
  <si>
    <t>Primary Ventures, Collab Fund</t>
  </si>
  <si>
    <t>Quantum circuit execution middleware and developer environment</t>
  </si>
  <si>
    <t>IRR Excl. LTM period</t>
  </si>
  <si>
    <t>Outtake</t>
  </si>
  <si>
    <t>Agentic cybersecurity solutions for identity-based threats</t>
  </si>
  <si>
    <t>CRV, S32, Slow Ventures, Nikesh Arora (PANW CEO)</t>
  </si>
  <si>
    <t>Spark Capital, Amplify Partners, Tamarack Global</t>
  </si>
  <si>
    <t>Net TVPI</t>
  </si>
  <si>
    <t>Mark-Up</t>
  </si>
  <si>
    <t>Gross</t>
  </si>
  <si>
    <t>Toggle</t>
  </si>
  <si>
    <t>Normal Computing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</si>
</sst>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164" formatCode="&quot;$&quot;#,##0.0;&quot;&quot;;&quot;- &quot;"/>
    <numFmt numFmtId="165" formatCode="0.0\x"/>
    <numFmt numFmtId="166" formatCode="&quot;$&quot;#,##0;&quot;&quot;;&quot;- &quot;"/>
    <numFmt numFmtId="167" formatCode="0.0%"/>
    <numFmt numFmtId="168" formatCode="&quot;$&quot;#,##0;\(&quot;$&quot;#,##0\);&quot;- &quot;"/>
    <numFmt numFmtId="169" formatCode="&quot;$&quot;#,##0.00"/>
    <numFmt numFmtId="170" formatCode="mmm\-yy&quot;A&quot;"/>
    <numFmt numFmtId="171" formatCode="0.0%;\(0.0%\);&quot;-&quot;"/>
    <numFmt numFmtId="172" formatCode="0%;\(0%\);&quot;-&quot;"/>
    <numFmt numFmtId="173" formatCode="m/d/yy&quot;A&quot;"/>
  </numFmts>
  <fonts count="16" x14ac:knownFonts="1">
    <font>
      <sz val="12"/>
      <color theme="1"/>
      <name val="Calibri"/>
      <family val="2"/>
      <scheme val="minor"/>
    </font>
    <font>
      <b/>
      <sz val="12"/>
      <color theme="1"/>
      <name val="Calibri"/>
      <family val="2"/>
      <scheme val="minor"/>
    </font>
    <font>
      <b/>
      <u val="singleAccounting"/>
      <sz val="12"/>
      <color theme="1"/>
      <name val="Calibri"/>
      <family val="2"/>
      <scheme val="minor"/>
    </font>
    <font>
      <i/>
      <sz val="10"/>
      <color theme="1"/>
      <name val="Calibri"/>
      <family val="2"/>
      <scheme val="minor"/>
    </font>
    <font>
      <b/>
      <u/>
      <sz val="12"/>
      <color theme="1"/>
      <name val="Calibri (Body)"/>
    </font>
    <font>
      <sz val="12"/>
      <color theme="1"/>
      <name val="Calibri"/>
      <family val="2"/>
      <scheme val="minor"/>
    </font>
    <font>
      <sz val="11"/>
      <color theme="1"/>
      <name val="Arial"/>
      <family val="2"/>
    </font>
    <font>
      <i/>
      <sz val="11"/>
      <color theme="1"/>
      <name val="Arial"/>
      <family val="2"/>
    </font>
    <font>
      <b/>
      <u val="singleAccounting"/>
      <sz val="11"/>
      <color theme="1"/>
      <name val="Arial"/>
      <family val="2"/>
    </font>
    <font>
      <b/>
      <sz val="11"/>
      <color theme="1"/>
      <name val="Arial"/>
      <family val="2"/>
    </font>
    <font>
      <b/>
      <u val="singleAccounting"/>
      <sz val="11"/>
      <color rgb="FF0B00FF"/>
      <name val="Arial"/>
      <family val="2"/>
    </font>
    <font>
      <b/>
      <u val="singleAccounting"/>
      <sz val="11"/>
      <name val="Arial"/>
      <family val="2"/>
    </font>
    <font>
      <sz val="11"/>
      <color rgb="FF0F02FE"/>
      <name val="Arial"/>
      <family val="2"/>
    </font>
    <font>
      <b/>
      <u/>
      <sz val="11"/>
      <color theme="1"/>
      <name val="Arial"/>
      <family val="2"/>
    </font>
    <font>
      <b/>
      <i/>
      <sz val="11"/>
      <color theme="1"/>
      <name val="Arial"/>
      <family val="2"/>
    </font>
    <font>
      <sz val="11"/>
      <color theme="0"/>
      <name val="Arial"/>
      <family val="2"/>
    </font>
  </fonts>
  <fills count="8">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lightUp">
        <bgColor theme="0"/>
      </patternFill>
    </fill>
    <fill>
      <patternFill patternType="solid">
        <fgColor theme="9"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tint="-0.249977111117893"/>
      </bottom>
      <diagonal/>
    </border>
    <border>
      <left/>
      <right/>
      <top/>
      <bottom style="medium">
        <color indexed="64"/>
      </bottom>
      <diagonal/>
    </border>
  </borders>
  <cellStyleXfs count="2">
    <xf numFmtId="0" fontId="0" fillId="0" borderId="0"/>
    <xf numFmtId="9" fontId="5" fillId="0" borderId="0" applyFont="0" applyFill="0" applyBorder="0" applyAlignment="0" applyProtection="0"/>
  </cellStyleXfs>
  <cellXfs count="166">
    <xf numFmtId="0" fontId="0" fillId="0" borderId="0" xfId="0"/>
    <xf numFmtId="0" fontId="0" fillId="0" borderId="0" xfId="0" applyAlignment="1">
      <alignment horizontal="left" wrapText="1"/>
    </xf>
    <xf numFmtId="0" fontId="0" fillId="0" borderId="0" xfId="0" applyAlignment="1">
      <alignment horizontal="center"/>
    </xf>
    <xf numFmtId="164" fontId="0" fillId="0" borderId="0" xfId="0" applyNumberFormat="1" applyAlignment="1">
      <alignment horizontal="center" vertical="center"/>
    </xf>
    <xf numFmtId="44" fontId="2" fillId="0" borderId="0" xfId="0" applyNumberFormat="1" applyFont="1" applyAlignment="1">
      <alignment horizontal="centerContinuous"/>
    </xf>
    <xf numFmtId="166" fontId="0" fillId="0" borderId="0" xfId="0" applyNumberFormat="1" applyAlignment="1">
      <alignment horizontal="center" vertical="center"/>
    </xf>
    <xf numFmtId="16" fontId="2" fillId="0" borderId="0" xfId="0" quotePrefix="1" applyNumberFormat="1" applyFont="1" applyAlignment="1">
      <alignment horizontal="centerContinuous"/>
    </xf>
    <xf numFmtId="165" fontId="1" fillId="0" borderId="5" xfId="0" applyNumberFormat="1" applyFont="1" applyBorder="1" applyAlignment="1">
      <alignment horizontal="center" vertical="center"/>
    </xf>
    <xf numFmtId="165" fontId="1" fillId="0" borderId="6" xfId="0" applyNumberFormat="1" applyFont="1" applyBorder="1" applyAlignment="1">
      <alignment horizontal="center" vertical="center"/>
    </xf>
    <xf numFmtId="44" fontId="2" fillId="0" borderId="0" xfId="0" applyNumberFormat="1" applyFont="1" applyAlignment="1">
      <alignment horizontal="left"/>
    </xf>
    <xf numFmtId="0" fontId="1" fillId="0" borderId="0" xfId="0" applyFont="1"/>
    <xf numFmtId="0" fontId="1" fillId="0" borderId="1" xfId="0" applyFont="1" applyBorder="1"/>
    <xf numFmtId="166" fontId="1" fillId="0" borderId="2" xfId="0" applyNumberFormat="1" applyFont="1" applyBorder="1" applyAlignment="1">
      <alignment horizontal="center"/>
    </xf>
    <xf numFmtId="166" fontId="1" fillId="0" borderId="3" xfId="0" applyNumberFormat="1" applyFont="1" applyBorder="1" applyAlignment="1">
      <alignment horizontal="center"/>
    </xf>
    <xf numFmtId="0" fontId="1" fillId="0" borderId="4" xfId="0" applyFont="1" applyBorder="1"/>
    <xf numFmtId="0" fontId="0" fillId="0" borderId="5" xfId="0" applyBorder="1"/>
    <xf numFmtId="44" fontId="2" fillId="2" borderId="0" xfId="0" applyNumberFormat="1" applyFont="1" applyFill="1" applyAlignment="1">
      <alignment horizontal="centerContinuous"/>
    </xf>
    <xf numFmtId="44" fontId="2" fillId="3" borderId="0" xfId="0" applyNumberFormat="1" applyFont="1" applyFill="1" applyAlignment="1">
      <alignment horizontal="centerContinuous"/>
    </xf>
    <xf numFmtId="0" fontId="3" fillId="4" borderId="0" xfId="0" applyFont="1" applyFill="1" applyAlignment="1">
      <alignment vertical="top"/>
    </xf>
    <xf numFmtId="44" fontId="2" fillId="4" borderId="0" xfId="0" applyNumberFormat="1" applyFont="1" applyFill="1" applyAlignment="1">
      <alignment horizontal="centerContinuous"/>
    </xf>
    <xf numFmtId="0" fontId="0" fillId="4" borderId="0" xfId="0" applyFill="1"/>
    <xf numFmtId="44" fontId="2" fillId="4" borderId="0" xfId="0" applyNumberFormat="1" applyFont="1" applyFill="1" applyAlignment="1">
      <alignment horizontal="left"/>
    </xf>
    <xf numFmtId="16" fontId="2" fillId="4" borderId="0" xfId="0" quotePrefix="1" applyNumberFormat="1" applyFont="1" applyFill="1" applyAlignment="1">
      <alignment horizontal="centerContinuous"/>
    </xf>
    <xf numFmtId="0" fontId="0" fillId="4" borderId="0" xfId="0" applyFill="1" applyAlignment="1">
      <alignment horizontal="left" wrapText="1"/>
    </xf>
    <xf numFmtId="164" fontId="0" fillId="4" borderId="0" xfId="0" applyNumberFormat="1" applyFill="1" applyAlignment="1">
      <alignment horizontal="center" vertical="center"/>
    </xf>
    <xf numFmtId="165" fontId="0" fillId="4" borderId="0" xfId="0" applyNumberFormat="1" applyFill="1" applyAlignment="1">
      <alignment horizontal="center" vertical="center"/>
    </xf>
    <xf numFmtId="166" fontId="0" fillId="4" borderId="0" xfId="0" applyNumberFormat="1" applyFill="1" applyAlignment="1">
      <alignment horizontal="center" vertical="center"/>
    </xf>
    <xf numFmtId="0" fontId="1" fillId="4" borderId="1" xfId="0" applyFont="1" applyFill="1" applyBorder="1" applyAlignment="1">
      <alignment horizontal="left" wrapText="1"/>
    </xf>
    <xf numFmtId="0" fontId="1" fillId="4" borderId="2" xfId="0" applyFont="1" applyFill="1" applyBorder="1"/>
    <xf numFmtId="164" fontId="1" fillId="4" borderId="2"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167" fontId="1" fillId="4" borderId="2" xfId="0" applyNumberFormat="1" applyFont="1" applyFill="1" applyBorder="1" applyAlignment="1">
      <alignment horizontal="center" vertical="center"/>
    </xf>
    <xf numFmtId="167" fontId="1" fillId="4" borderId="3" xfId="0" applyNumberFormat="1" applyFont="1" applyFill="1" applyBorder="1" applyAlignment="1">
      <alignment horizontal="center" vertical="center"/>
    </xf>
    <xf numFmtId="166" fontId="1" fillId="4" borderId="0" xfId="0" applyNumberFormat="1" applyFont="1" applyFill="1" applyAlignment="1">
      <alignment horizontal="center"/>
    </xf>
    <xf numFmtId="167" fontId="1" fillId="4" borderId="0" xfId="0" applyNumberFormat="1" applyFont="1" applyFill="1" applyAlignment="1">
      <alignment horizontal="center" vertical="center"/>
    </xf>
    <xf numFmtId="14" fontId="1" fillId="4" borderId="0" xfId="0" applyNumberFormat="1" applyFont="1" applyFill="1" applyAlignment="1">
      <alignment horizontal="center"/>
    </xf>
    <xf numFmtId="168" fontId="1" fillId="4" borderId="0" xfId="0" applyNumberFormat="1" applyFont="1" applyFill="1" applyAlignment="1">
      <alignment horizontal="center" vertical="center"/>
    </xf>
    <xf numFmtId="0" fontId="1" fillId="4" borderId="4" xfId="0" applyFont="1" applyFill="1" applyBorder="1" applyAlignment="1">
      <alignment horizontal="left" wrapText="1"/>
    </xf>
    <xf numFmtId="0" fontId="1" fillId="4" borderId="5" xfId="0" applyFont="1" applyFill="1" applyBorder="1"/>
    <xf numFmtId="164" fontId="1" fillId="4" borderId="5" xfId="0" applyNumberFormat="1" applyFont="1" applyFill="1" applyBorder="1" applyAlignment="1">
      <alignment horizontal="center" vertical="center"/>
    </xf>
    <xf numFmtId="165" fontId="1" fillId="4" borderId="5" xfId="0" applyNumberFormat="1" applyFont="1" applyFill="1" applyBorder="1" applyAlignment="1">
      <alignment horizontal="center" vertical="center"/>
    </xf>
    <xf numFmtId="167" fontId="1" fillId="4" borderId="5" xfId="0" applyNumberFormat="1" applyFont="1" applyFill="1" applyBorder="1" applyAlignment="1">
      <alignment horizontal="center" vertical="center"/>
    </xf>
    <xf numFmtId="167" fontId="1" fillId="4" borderId="6" xfId="0" applyNumberFormat="1" applyFont="1" applyFill="1" applyBorder="1" applyAlignment="1">
      <alignment horizontal="center" vertical="center"/>
    </xf>
    <xf numFmtId="0" fontId="1" fillId="4" borderId="0" xfId="0" applyFont="1" applyFill="1" applyAlignment="1">
      <alignment horizontal="left" wrapText="1"/>
    </xf>
    <xf numFmtId="0" fontId="1" fillId="4" borderId="0" xfId="0" applyFont="1" applyFill="1"/>
    <xf numFmtId="164" fontId="1" fillId="4" borderId="0" xfId="0" applyNumberFormat="1" applyFont="1" applyFill="1" applyAlignment="1">
      <alignment horizontal="center" vertical="center"/>
    </xf>
    <xf numFmtId="165" fontId="1" fillId="4" borderId="0" xfId="0" applyNumberFormat="1" applyFont="1" applyFill="1" applyAlignment="1">
      <alignment horizontal="center" vertical="center"/>
    </xf>
    <xf numFmtId="0" fontId="0" fillId="4" borderId="0" xfId="0" applyFill="1" applyAlignment="1">
      <alignment horizontal="center"/>
    </xf>
    <xf numFmtId="164" fontId="0" fillId="4" borderId="2" xfId="0" applyNumberFormat="1" applyFill="1" applyBorder="1" applyAlignment="1">
      <alignment horizontal="center" vertical="center"/>
    </xf>
    <xf numFmtId="0" fontId="1" fillId="4" borderId="8" xfId="0" applyFont="1" applyFill="1" applyBorder="1" applyAlignment="1">
      <alignment horizontal="left" wrapText="1"/>
    </xf>
    <xf numFmtId="0" fontId="0" fillId="4" borderId="7" xfId="0" applyFill="1" applyBorder="1"/>
    <xf numFmtId="164" fontId="0" fillId="4" borderId="7" xfId="0" applyNumberFormat="1" applyFill="1" applyBorder="1" applyAlignment="1">
      <alignment horizontal="center" vertical="center"/>
    </xf>
    <xf numFmtId="166" fontId="1" fillId="4" borderId="7" xfId="0" applyNumberFormat="1" applyFont="1" applyFill="1" applyBorder="1" applyAlignment="1">
      <alignment horizontal="center"/>
    </xf>
    <xf numFmtId="0" fontId="0" fillId="4" borderId="9" xfId="0" applyFill="1" applyBorder="1"/>
    <xf numFmtId="169" fontId="0" fillId="4" borderId="0" xfId="0" applyNumberFormat="1" applyFill="1"/>
    <xf numFmtId="0" fontId="0" fillId="4" borderId="10" xfId="0" applyFill="1" applyBorder="1" applyAlignment="1">
      <alignment horizontal="left" wrapText="1"/>
    </xf>
    <xf numFmtId="164" fontId="0" fillId="4" borderId="10" xfId="0" applyNumberFormat="1" applyFill="1" applyBorder="1" applyAlignment="1">
      <alignment horizontal="center" vertical="center"/>
    </xf>
    <xf numFmtId="165" fontId="0" fillId="4" borderId="10" xfId="0" applyNumberFormat="1" applyFill="1" applyBorder="1" applyAlignment="1">
      <alignment horizontal="center" vertical="center"/>
    </xf>
    <xf numFmtId="167" fontId="0" fillId="4" borderId="10" xfId="0" applyNumberFormat="1" applyFill="1" applyBorder="1" applyAlignment="1">
      <alignment horizontal="center" vertical="center"/>
    </xf>
    <xf numFmtId="0" fontId="0" fillId="4" borderId="10" xfId="0" applyFill="1" applyBorder="1"/>
    <xf numFmtId="166" fontId="0" fillId="4" borderId="10" xfId="0" applyNumberFormat="1" applyFill="1" applyBorder="1" applyAlignment="1">
      <alignment horizontal="center" vertical="center"/>
    </xf>
    <xf numFmtId="14" fontId="0" fillId="4" borderId="10" xfId="0" applyNumberFormat="1" applyFill="1" applyBorder="1" applyAlignment="1">
      <alignment horizontal="center"/>
    </xf>
    <xf numFmtId="168" fontId="0" fillId="4" borderId="10" xfId="0" applyNumberFormat="1" applyFill="1" applyBorder="1" applyAlignment="1">
      <alignment horizontal="center" vertical="center"/>
    </xf>
    <xf numFmtId="167" fontId="0" fillId="4" borderId="0" xfId="0" applyNumberFormat="1" applyFill="1" applyAlignment="1">
      <alignment horizontal="center" vertical="center"/>
    </xf>
    <xf numFmtId="14" fontId="0" fillId="4" borderId="0" xfId="0" applyNumberFormat="1" applyFill="1" applyAlignment="1">
      <alignment horizontal="center"/>
    </xf>
    <xf numFmtId="168" fontId="0" fillId="4" borderId="0" xfId="0" applyNumberFormat="1" applyFill="1" applyAlignment="1">
      <alignment horizontal="center" vertical="center"/>
    </xf>
    <xf numFmtId="167" fontId="0" fillId="5" borderId="10" xfId="0" applyNumberFormat="1" applyFill="1" applyBorder="1" applyAlignment="1">
      <alignment horizontal="center" vertical="center"/>
    </xf>
    <xf numFmtId="0" fontId="1" fillId="4" borderId="2" xfId="0" applyFont="1" applyFill="1" applyBorder="1" applyAlignment="1">
      <alignment horizontal="left" wrapText="1"/>
    </xf>
    <xf numFmtId="0" fontId="1" fillId="4" borderId="5" xfId="0" applyFont="1" applyFill="1" applyBorder="1" applyAlignment="1">
      <alignment horizontal="left" wrapText="1"/>
    </xf>
    <xf numFmtId="0" fontId="1" fillId="4" borderId="7" xfId="0" applyFont="1" applyFill="1" applyBorder="1" applyAlignment="1">
      <alignment horizontal="left" wrapText="1"/>
    </xf>
    <xf numFmtId="44" fontId="2" fillId="4" borderId="0" xfId="0" applyNumberFormat="1" applyFont="1" applyFill="1" applyAlignment="1">
      <alignment horizontal="center"/>
    </xf>
    <xf numFmtId="0" fontId="0" fillId="4" borderId="10" xfId="0" applyFill="1" applyBorder="1" applyAlignment="1">
      <alignment horizontal="center" wrapText="1"/>
    </xf>
    <xf numFmtId="0" fontId="0" fillId="4" borderId="0" xfId="0" applyFill="1" applyAlignment="1">
      <alignment horizontal="center" wrapText="1"/>
    </xf>
    <xf numFmtId="167" fontId="0" fillId="5" borderId="0" xfId="0" applyNumberFormat="1" applyFill="1" applyAlignment="1">
      <alignment horizontal="center" vertical="center"/>
    </xf>
    <xf numFmtId="0" fontId="6" fillId="0" borderId="0" xfId="0" applyFont="1"/>
    <xf numFmtId="44" fontId="8" fillId="3" borderId="0" xfId="0" applyNumberFormat="1" applyFont="1" applyFill="1" applyAlignment="1">
      <alignment horizontal="centerContinuous"/>
    </xf>
    <xf numFmtId="0" fontId="7" fillId="4" borderId="0" xfId="0" applyFont="1" applyFill="1" applyAlignment="1">
      <alignment vertical="top"/>
    </xf>
    <xf numFmtId="44" fontId="8" fillId="4" borderId="0" xfId="0" applyNumberFormat="1" applyFont="1" applyFill="1" applyAlignment="1">
      <alignment horizontal="centerContinuous"/>
    </xf>
    <xf numFmtId="0" fontId="6" fillId="4" borderId="0" xfId="0" applyFont="1" applyFill="1"/>
    <xf numFmtId="44" fontId="8" fillId="4" borderId="0" xfId="0" applyNumberFormat="1" applyFont="1" applyFill="1" applyAlignment="1">
      <alignment horizontal="center"/>
    </xf>
    <xf numFmtId="0" fontId="6" fillId="0" borderId="0" xfId="0" applyFont="1" applyAlignment="1">
      <alignment horizontal="center"/>
    </xf>
    <xf numFmtId="44" fontId="8" fillId="4" borderId="0" xfId="0" applyNumberFormat="1" applyFont="1" applyFill="1" applyAlignment="1">
      <alignment horizontal="left"/>
    </xf>
    <xf numFmtId="170" fontId="11" fillId="4" borderId="0" xfId="0" quotePrefix="1" applyNumberFormat="1" applyFont="1" applyFill="1" applyAlignment="1">
      <alignment horizontal="centerContinuous"/>
    </xf>
    <xf numFmtId="170" fontId="8" fillId="4" borderId="0" xfId="0" applyNumberFormat="1" applyFont="1" applyFill="1" applyAlignment="1">
      <alignment horizontal="centerContinuous"/>
    </xf>
    <xf numFmtId="0" fontId="6" fillId="4" borderId="10" xfId="0" applyFont="1" applyFill="1" applyBorder="1" applyAlignment="1">
      <alignment horizontal="left" wrapText="1"/>
    </xf>
    <xf numFmtId="17" fontId="6" fillId="4" borderId="10" xfId="0" applyNumberFormat="1" applyFont="1" applyFill="1" applyBorder="1" applyAlignment="1">
      <alignment horizontal="center" wrapText="1"/>
    </xf>
    <xf numFmtId="166" fontId="6" fillId="4" borderId="10" xfId="0" applyNumberFormat="1" applyFont="1" applyFill="1" applyBorder="1" applyAlignment="1">
      <alignment horizontal="center" vertical="center"/>
    </xf>
    <xf numFmtId="171" fontId="6" fillId="4" borderId="10" xfId="0" applyNumberFormat="1" applyFont="1" applyFill="1" applyBorder="1" applyAlignment="1">
      <alignment horizontal="center" wrapText="1"/>
    </xf>
    <xf numFmtId="0" fontId="6" fillId="4" borderId="10" xfId="0" applyFont="1" applyFill="1" applyBorder="1" applyAlignment="1">
      <alignment horizontal="center" wrapText="1"/>
    </xf>
    <xf numFmtId="164" fontId="6" fillId="4" borderId="10" xfId="0" applyNumberFormat="1" applyFont="1" applyFill="1" applyBorder="1" applyAlignment="1">
      <alignment horizontal="center" vertical="center"/>
    </xf>
    <xf numFmtId="165" fontId="6" fillId="4" borderId="10" xfId="0" applyNumberFormat="1" applyFont="1" applyFill="1" applyBorder="1" applyAlignment="1">
      <alignment horizontal="center" vertical="center"/>
    </xf>
    <xf numFmtId="172" fontId="6" fillId="4" borderId="10" xfId="0" applyNumberFormat="1" applyFont="1" applyFill="1" applyBorder="1" applyAlignment="1">
      <alignment horizontal="center" wrapText="1"/>
    </xf>
    <xf numFmtId="167" fontId="6" fillId="4" borderId="10" xfId="0" applyNumberFormat="1" applyFont="1" applyFill="1" applyBorder="1" applyAlignment="1">
      <alignment horizontal="center" vertical="center"/>
    </xf>
    <xf numFmtId="0" fontId="6" fillId="4" borderId="10" xfId="0" applyFont="1" applyFill="1" applyBorder="1"/>
    <xf numFmtId="14" fontId="12" fillId="4" borderId="10" xfId="0" applyNumberFormat="1" applyFont="1" applyFill="1" applyBorder="1" applyAlignment="1">
      <alignment horizontal="center"/>
    </xf>
    <xf numFmtId="14" fontId="6" fillId="4" borderId="10" xfId="0" applyNumberFormat="1" applyFont="1" applyFill="1" applyBorder="1" applyAlignment="1">
      <alignment horizontal="center"/>
    </xf>
    <xf numFmtId="168" fontId="6" fillId="4" borderId="10" xfId="0" applyNumberFormat="1" applyFont="1" applyFill="1" applyBorder="1" applyAlignment="1">
      <alignment horizontal="center" vertical="center"/>
    </xf>
    <xf numFmtId="166" fontId="6" fillId="0" borderId="0" xfId="0" applyNumberFormat="1" applyFont="1" applyAlignment="1">
      <alignment horizontal="center" vertical="center"/>
    </xf>
    <xf numFmtId="0" fontId="6" fillId="4" borderId="0" xfId="0" applyFont="1" applyFill="1" applyAlignment="1">
      <alignment horizontal="left" wrapText="1"/>
    </xf>
    <xf numFmtId="17" fontId="6" fillId="4" borderId="0" xfId="0" applyNumberFormat="1" applyFont="1" applyFill="1" applyAlignment="1">
      <alignment horizontal="center" wrapText="1"/>
    </xf>
    <xf numFmtId="166" fontId="6" fillId="4" borderId="0" xfId="0" applyNumberFormat="1" applyFont="1" applyFill="1" applyAlignment="1">
      <alignment horizontal="center" vertical="center"/>
    </xf>
    <xf numFmtId="167" fontId="6" fillId="4" borderId="0" xfId="0" applyNumberFormat="1" applyFont="1" applyFill="1" applyAlignment="1">
      <alignment horizontal="center" wrapText="1"/>
    </xf>
    <xf numFmtId="0" fontId="6" fillId="4" borderId="0" xfId="0" applyFont="1" applyFill="1" applyAlignment="1">
      <alignment horizontal="center" wrapText="1"/>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167" fontId="6" fillId="4" borderId="0" xfId="0" applyNumberFormat="1" applyFont="1" applyFill="1" applyAlignment="1">
      <alignment horizontal="center" vertical="center"/>
    </xf>
    <xf numFmtId="14" fontId="6" fillId="4" borderId="0" xfId="0" applyNumberFormat="1" applyFont="1" applyFill="1" applyAlignment="1">
      <alignment horizontal="center"/>
    </xf>
    <xf numFmtId="168" fontId="6" fillId="4" borderId="0" xfId="0" applyNumberFormat="1" applyFont="1" applyFill="1" applyAlignment="1">
      <alignment horizontal="center" vertical="center"/>
    </xf>
    <xf numFmtId="0" fontId="7" fillId="4" borderId="0" xfId="0" applyFont="1" applyFill="1"/>
    <xf numFmtId="0" fontId="7" fillId="4" borderId="0" xfId="0" applyFont="1" applyFill="1" applyAlignment="1">
      <alignment horizontal="left"/>
    </xf>
    <xf numFmtId="166" fontId="9" fillId="4" borderId="0" xfId="0" applyNumberFormat="1" applyFont="1" applyFill="1" applyAlignment="1">
      <alignment horizontal="center"/>
    </xf>
    <xf numFmtId="167" fontId="9" fillId="4" borderId="0" xfId="0" applyNumberFormat="1" applyFont="1" applyFill="1" applyAlignment="1">
      <alignment horizontal="center" vertical="center"/>
    </xf>
    <xf numFmtId="16" fontId="8" fillId="4" borderId="0" xfId="0" quotePrefix="1" applyNumberFormat="1" applyFont="1" applyFill="1" applyAlignment="1">
      <alignment horizontal="centerContinuous"/>
    </xf>
    <xf numFmtId="0" fontId="9" fillId="0" borderId="0" xfId="0" applyFont="1"/>
    <xf numFmtId="0" fontId="13" fillId="0" borderId="0" xfId="0" applyFont="1"/>
    <xf numFmtId="0" fontId="9" fillId="4" borderId="8" xfId="0" applyFont="1" applyFill="1" applyBorder="1" applyAlignment="1">
      <alignment horizontal="left" vertical="center"/>
    </xf>
    <xf numFmtId="164" fontId="9" fillId="4" borderId="7" xfId="0" applyNumberFormat="1" applyFont="1" applyFill="1" applyBorder="1" applyAlignment="1">
      <alignment horizontal="center" vertical="center"/>
    </xf>
    <xf numFmtId="165" fontId="9" fillId="4" borderId="7" xfId="0" applyNumberFormat="1" applyFont="1" applyFill="1" applyBorder="1" applyAlignment="1">
      <alignment horizontal="center" vertical="center"/>
    </xf>
    <xf numFmtId="167" fontId="9" fillId="4" borderId="7" xfId="0" applyNumberFormat="1" applyFont="1" applyFill="1" applyBorder="1" applyAlignment="1">
      <alignment horizontal="center" vertical="center"/>
    </xf>
    <xf numFmtId="0" fontId="14" fillId="4" borderId="0" xfId="0" applyFont="1" applyFill="1" applyAlignment="1">
      <alignment horizontal="left"/>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167" fontId="14" fillId="4" borderId="0" xfId="0" applyNumberFormat="1" applyFont="1" applyFill="1" applyAlignment="1">
      <alignment horizontal="center" vertical="center"/>
    </xf>
    <xf numFmtId="14" fontId="9" fillId="4" borderId="0" xfId="0" applyNumberFormat="1" applyFont="1" applyFill="1" applyAlignment="1">
      <alignment horizontal="center"/>
    </xf>
    <xf numFmtId="168" fontId="9" fillId="4" borderId="0" xfId="0" applyNumberFormat="1" applyFont="1" applyFill="1" applyAlignment="1">
      <alignment horizontal="center" vertical="center"/>
    </xf>
    <xf numFmtId="0" fontId="9" fillId="4" borderId="0" xfId="0" applyFont="1" applyFill="1" applyAlignment="1">
      <alignment horizontal="left" wrapText="1"/>
    </xf>
    <xf numFmtId="0" fontId="9" fillId="4" borderId="0" xfId="0" applyFont="1" applyFill="1"/>
    <xf numFmtId="164" fontId="9" fillId="4" borderId="0" xfId="0" applyNumberFormat="1" applyFont="1" applyFill="1" applyAlignment="1">
      <alignment horizontal="center" vertical="center"/>
    </xf>
    <xf numFmtId="165" fontId="9" fillId="4" borderId="0" xfId="0" applyNumberFormat="1" applyFont="1" applyFill="1" applyAlignment="1">
      <alignment horizontal="center" vertical="center"/>
    </xf>
    <xf numFmtId="0" fontId="9" fillId="4" borderId="0" xfId="0" applyFont="1" applyFill="1" applyAlignment="1">
      <alignment horizontal="left" vertical="center"/>
    </xf>
    <xf numFmtId="164" fontId="13" fillId="4" borderId="0" xfId="0" applyNumberFormat="1" applyFont="1" applyFill="1" applyAlignment="1">
      <alignment horizontal="center" vertical="center"/>
    </xf>
    <xf numFmtId="0" fontId="9" fillId="4" borderId="8" xfId="0" applyFont="1" applyFill="1" applyBorder="1" applyAlignment="1">
      <alignment horizontal="left"/>
    </xf>
    <xf numFmtId="164" fontId="6" fillId="4" borderId="7" xfId="0" applyNumberFormat="1" applyFont="1" applyFill="1" applyBorder="1" applyAlignment="1">
      <alignment horizontal="center" vertical="center"/>
    </xf>
    <xf numFmtId="166" fontId="9" fillId="4" borderId="7" xfId="0" applyNumberFormat="1" applyFont="1" applyFill="1" applyBorder="1" applyAlignment="1">
      <alignment horizontal="center"/>
    </xf>
    <xf numFmtId="166" fontId="9" fillId="4" borderId="9" xfId="0" applyNumberFormat="1" applyFont="1" applyFill="1" applyBorder="1" applyAlignment="1">
      <alignment horizontal="center"/>
    </xf>
    <xf numFmtId="0" fontId="9" fillId="4" borderId="8" xfId="0" applyFont="1" applyFill="1" applyBorder="1"/>
    <xf numFmtId="0" fontId="9" fillId="0" borderId="9" xfId="0" applyFont="1" applyBorder="1" applyAlignment="1">
      <alignment horizontal="center"/>
    </xf>
    <xf numFmtId="169" fontId="6" fillId="4" borderId="0" xfId="0" applyNumberFormat="1" applyFont="1" applyFill="1"/>
    <xf numFmtId="14" fontId="6" fillId="4" borderId="0" xfId="0" applyNumberFormat="1" applyFont="1" applyFill="1"/>
    <xf numFmtId="164" fontId="6" fillId="0" borderId="0" xfId="0" applyNumberFormat="1" applyFont="1" applyAlignment="1">
      <alignment horizontal="center" vertical="center"/>
    </xf>
    <xf numFmtId="44" fontId="8" fillId="6" borderId="0" xfId="0" applyNumberFormat="1" applyFont="1" applyFill="1" applyAlignment="1">
      <alignment horizontal="centerContinuous"/>
    </xf>
    <xf numFmtId="14" fontId="6" fillId="0" borderId="0" xfId="0" applyNumberFormat="1" applyFont="1"/>
    <xf numFmtId="168" fontId="6" fillId="0" borderId="0" xfId="0" applyNumberFormat="1" applyFont="1"/>
    <xf numFmtId="0" fontId="6" fillId="0" borderId="11" xfId="0" applyFont="1" applyBorder="1"/>
    <xf numFmtId="14" fontId="6" fillId="0" borderId="1" xfId="0" applyNumberFormat="1" applyFont="1" applyBorder="1"/>
    <xf numFmtId="0" fontId="9" fillId="0" borderId="4" xfId="0" applyFont="1" applyBorder="1" applyAlignment="1">
      <alignment horizontal="center"/>
    </xf>
    <xf numFmtId="167" fontId="9" fillId="0" borderId="6" xfId="1" applyNumberFormat="1" applyFont="1" applyBorder="1" applyAlignment="1">
      <alignment horizontal="center"/>
    </xf>
    <xf numFmtId="44" fontId="8" fillId="0" borderId="0" xfId="0" applyNumberFormat="1" applyFont="1" applyAlignment="1">
      <alignment horizontal="left"/>
    </xf>
    <xf numFmtId="168" fontId="9" fillId="4" borderId="0" xfId="0" applyNumberFormat="1" applyFont="1" applyFill="1" applyAlignment="1">
      <alignment horizontal="center"/>
    </xf>
    <xf numFmtId="14" fontId="6" fillId="0" borderId="11" xfId="0" applyNumberFormat="1" applyFont="1" applyBorder="1"/>
    <xf numFmtId="168" fontId="6" fillId="0" borderId="11" xfId="0" applyNumberFormat="1" applyFont="1" applyBorder="1"/>
    <xf numFmtId="0" fontId="7" fillId="0" borderId="0" xfId="0" applyFont="1"/>
    <xf numFmtId="0" fontId="15" fillId="4" borderId="0" xfId="0" applyFont="1" applyFill="1" applyAlignment="1">
      <alignment horizontal="center"/>
    </xf>
    <xf numFmtId="171" fontId="6" fillId="4" borderId="0" xfId="0" applyNumberFormat="1" applyFont="1" applyFill="1" applyAlignment="1">
      <alignment horizontal="center" wrapText="1"/>
    </xf>
    <xf numFmtId="172" fontId="6" fillId="4" borderId="0" xfId="0" applyNumberFormat="1" applyFont="1" applyFill="1" applyAlignment="1">
      <alignment horizontal="center" wrapText="1"/>
    </xf>
    <xf numFmtId="14" fontId="12" fillId="4" borderId="0" xfId="0" applyNumberFormat="1" applyFont="1" applyFill="1" applyAlignment="1">
      <alignment horizontal="center"/>
    </xf>
    <xf numFmtId="17" fontId="6" fillId="0" borderId="0" xfId="0" applyNumberFormat="1" applyFont="1"/>
    <xf numFmtId="0" fontId="9" fillId="7" borderId="0" xfId="0" applyFont="1" applyFill="1" applyAlignment="1">
      <alignment horizontal="left"/>
    </xf>
    <xf numFmtId="164" fontId="9" fillId="7" borderId="0" xfId="0" applyNumberFormat="1" applyFont="1" applyFill="1" applyAlignment="1">
      <alignment horizontal="center" vertical="center"/>
    </xf>
    <xf numFmtId="165" fontId="9" fillId="7" borderId="0" xfId="0" applyNumberFormat="1" applyFont="1" applyFill="1" applyAlignment="1">
      <alignment horizontal="center" vertical="center"/>
    </xf>
    <xf numFmtId="167" fontId="9" fillId="7" borderId="0" xfId="0" applyNumberFormat="1" applyFont="1" applyFill="1" applyAlignment="1">
      <alignment horizontal="center" vertical="center"/>
    </xf>
    <xf numFmtId="164" fontId="6" fillId="4" borderId="2" xfId="0" applyNumberFormat="1" applyFont="1" applyFill="1" applyBorder="1" applyAlignment="1">
      <alignment horizontal="center" vertical="center"/>
    </xf>
    <xf numFmtId="173" fontId="10" fillId="4" borderId="0" xfId="0" quotePrefix="1" applyNumberFormat="1" applyFont="1" applyFill="1" applyAlignment="1">
      <alignment horizontal="centerContinuous"/>
    </xf>
    <xf numFmtId="170" fontId="8" fillId="4" borderId="3" xfId="0" applyNumberFormat="1" applyFont="1" applyFill="1" applyBorder="1" applyAlignment="1">
      <alignment horizontal="centerContinuous"/>
    </xf>
    <xf numFmtId="44" fontId="9" fillId="4" borderId="0" xfId="0" applyNumberFormat="1" applyFont="1" applyFill="1" applyAlignment="1">
      <alignment horizontal="centerContinuous"/>
    </xf>
    <xf numFmtId="0" fontId="6" fillId="4" borderId="0" xfId="0" applyFont="1" applyFill="1" applyAlignment="1">
      <alignment horizontal="center"/>
    </xf>
  </cellXfs>
  <cellStyles count="2">
    <cellStyle name="Normal" xfId="0" builtinId="0"/>
    <cellStyle name="Percent" xfId="1" builtinId="5"/>
  </cellStyles>
  <dxfs count="1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F02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787400</xdr:colOff>
      <xdr:row>1</xdr:row>
      <xdr:rowOff>152399</xdr:rowOff>
    </xdr:from>
    <xdr:to>
      <xdr:col>22</xdr:col>
      <xdr:colOff>54429</xdr:colOff>
      <xdr:row>51</xdr:row>
      <xdr:rowOff>18142</xdr:rowOff>
    </xdr:to>
    <xdr:sp macro="" textlink="">
      <xdr:nvSpPr>
        <xdr:cNvPr id="2" name="Rectangle 1">
          <a:extLst>
            <a:ext uri="{FF2B5EF4-FFF2-40B4-BE49-F238E27FC236}">
              <a16:creationId xmlns:a16="http://schemas.microsoft.com/office/drawing/2014/main" id="{704F48CF-2BAC-A3A0-AF99-61D52D1AF75C}"/>
            </a:ext>
          </a:extLst>
        </xdr:cNvPr>
        <xdr:cNvSpPr/>
      </xdr:nvSpPr>
      <xdr:spPr>
        <a:xfrm>
          <a:off x="787400" y="351970"/>
          <a:ext cx="17627600" cy="984431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dirty="0">
              <a:ln>
                <a:noFill/>
              </a:ln>
              <a:solidFill>
                <a:schemeClr val="tx1"/>
              </a:solidFill>
              <a:effectLst/>
              <a:uLnTx/>
              <a:uFillTx/>
              <a:latin typeface="Arial"/>
              <a:cs typeface="Arial"/>
              <a:sym typeface="Arial"/>
            </a:rPr>
            <a:t>Disclosures and Valuation, Performance and Financial Definitions</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r>
            <a:rPr kumimoji="0" lang="en-US" sz="1100" b="0" i="0" u="sng" strike="noStrike" kern="0" cap="none" spc="0" normalizeH="0" baseline="0" noProof="0" dirty="0">
              <a:ln>
                <a:noFill/>
              </a:ln>
              <a:solidFill>
                <a:schemeClr val="tx1"/>
              </a:solidFill>
              <a:effectLst/>
              <a:uLnTx/>
              <a:uFillTx/>
              <a:latin typeface="Arial"/>
              <a:cs typeface="Arial"/>
              <a:sym typeface="Arial"/>
            </a:rPr>
            <a:t>Important Disclosures.</a:t>
          </a:r>
          <a:r>
            <a:rPr kumimoji="0" lang="en-US" sz="1100" b="0" i="0" u="none" strike="noStrike" kern="0" cap="none" spc="0" normalizeH="0" baseline="0" noProof="0" dirty="0">
              <a:ln>
                <a:noFill/>
              </a:ln>
              <a:solidFill>
                <a:schemeClr val="tx1"/>
              </a:solidFill>
              <a:effectLst/>
              <a:uLnTx/>
              <a:uFillTx/>
              <a:latin typeface="Arial"/>
              <a:cs typeface="Arial"/>
              <a:sym typeface="Arial"/>
            </a:rPr>
            <a:t> All information included in this presentation is being presented subject to the following disclosures (in addition to those disclaimers included throughout this presentation):</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Prospective investors should carefully conduct their own investigation of the Fund before making an investment.</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Past performance is not necessarily indicative of future results, and there can be no assurance that the Fund will achieve comparable results or that Hyperion will be able to implement its investment strategy or achieve its investment objectives.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performance data reported herein reflects gross returns.  Management fees, carried interest, taxes, transaction costs and other expenses associated with the investments are not included in such gross performance data, and such amounts in the aggregate are expected to be substantial and would reduce the returns of fund investors. Certain performance data reported herein reflects estimated net returns.  Such estimated net returns are intended to approximate the effect that management fees, carried interest, taxes, transaction costs and other expenses associated with the investments will have on the returns of fund investors.  Actual net returns of the Fund may bear a different relationship to the actual gross returns of the Fund based on a variety of factors.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performance data reported herein represent projections and are hypothetical. Hypothetical metrics rely upon various assumptions which may prove inaccurate. As such, you are cautioned against any reliance on such figures which are provided solely for general informational purposes. </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The track record and performance figures herein represent a subset of prior investments made by Dillon Dunteman and exclude investments that, in the subjective view of Mr. Dunteman, are not core to the Fund’s strategy. For example, investments in digital assets have been excluded from this track record. Inclusion of all prior investments would result in materially lower performance.</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Although certain individuals may be identified in this presentation as “Partners” or “General Partners,” such titles reflect business usage that is customary within the venture capital and private equity industry and are not intended to indicate that any such individual is actually a partner or general partner of any partnership as those terms are used for legal purposes.</a:t>
          </a:r>
        </a:p>
        <a:p>
          <a:pPr marL="171450" marR="0" lvl="0" indent="-171450" algn="l" defTabSz="914400" rtl="0" eaLnBrk="1" fontAlgn="auto" latinLnBrk="0" hangingPunct="1">
            <a:lnSpc>
              <a:spcPct val="100000"/>
            </a:lnSpc>
            <a:spcBef>
              <a:spcPts val="0"/>
            </a:spcBef>
            <a:spcAft>
              <a:spcPts val="200"/>
            </a:spcAft>
            <a:buClr>
              <a:srgbClr val="BFBFBF"/>
            </a:buClr>
            <a:buSzTx/>
            <a:buFont typeface="Arial" panose="020B0604020202020204" pitchFamily="34" charset="0"/>
            <a:buChar char="•"/>
            <a:tabLst/>
            <a:defRPr/>
          </a:pPr>
          <a:r>
            <a:rPr kumimoji="0" lang="en-US" sz="1100" b="0" i="0" u="none" strike="noStrike" kern="0" cap="none" spc="0" normalizeH="0" baseline="0" noProof="0" dirty="0">
              <a:ln>
                <a:noFill/>
              </a:ln>
              <a:solidFill>
                <a:schemeClr val="tx1"/>
              </a:solidFill>
              <a:effectLst/>
              <a:uLnTx/>
              <a:uFillTx/>
              <a:latin typeface="Arial"/>
              <a:cs typeface="Arial"/>
              <a:sym typeface="Arial"/>
            </a:rPr>
            <a:t>Certain information contained in this presentation has been obtained from third-party sources, including portfolio companies.  While such information is believed to be reliable for the purposes used herein, Hyperion has not independently verified such information and makes no representation or warranty, express or implied, as to the accuracy or completeness of the information contained herein.</a:t>
          </a:r>
        </a:p>
        <a:p>
          <a:pPr marL="0" marR="0" lvl="0" indent="0" algn="l" defTabSz="914400" rtl="0" eaLnBrk="1" fontAlgn="auto" latinLnBrk="0" hangingPunct="1">
            <a:lnSpc>
              <a:spcPct val="100000"/>
            </a:lnSpc>
            <a:spcBef>
              <a:spcPts val="0"/>
            </a:spcBef>
            <a:spcAft>
              <a:spcPts val="0"/>
            </a:spcAft>
            <a:buClr>
              <a:srgbClr val="000000"/>
            </a:buClr>
            <a:buSzTx/>
            <a:buFont typeface="Arial"/>
            <a:buNone/>
            <a:tabLst/>
            <a:defRPr/>
          </a:pPr>
          <a:endParaRPr kumimoji="0" lang="en-US" sz="1100" b="0" i="0" u="none" strike="noStrike" kern="0" cap="none" spc="0" normalizeH="0" baseline="0" noProof="0" dirty="0">
            <a:ln>
              <a:noFill/>
            </a:ln>
            <a:solidFill>
              <a:schemeClr val="tx1"/>
            </a:solidFill>
            <a:effectLst/>
            <a:uLnTx/>
            <a:uFillTx/>
            <a:latin typeface="Arial"/>
            <a:cs typeface="Arial"/>
            <a:sym typeface="Arial"/>
          </a:endParaRPr>
        </a:p>
        <a:p>
          <a:r>
            <a:rPr kumimoji="0" lang="en-US" sz="1100" b="0" i="0" u="sng" strike="noStrike" kern="0" cap="none" spc="0" normalizeH="0" baseline="0" noProof="0" dirty="0">
              <a:ln>
                <a:noFill/>
              </a:ln>
              <a:solidFill>
                <a:schemeClr val="tx1"/>
              </a:solidFill>
              <a:effectLst/>
              <a:uLnTx/>
              <a:uFillTx/>
              <a:latin typeface="Arial"/>
              <a:cs typeface="Arial"/>
              <a:sym typeface="Arial"/>
            </a:rPr>
            <a:t>Valuation and Performance and Financial Definitions.</a:t>
          </a:r>
          <a:r>
            <a:rPr kumimoji="0" lang="en-US" sz="1100" b="0" i="0" u="none" strike="noStrike" kern="0" cap="none" spc="0" normalizeH="0" baseline="0" noProof="0" dirty="0">
              <a:ln>
                <a:noFill/>
              </a:ln>
              <a:solidFill>
                <a:schemeClr val="tx1"/>
              </a:solidFill>
              <a:effectLst/>
              <a:uLnTx/>
              <a:uFillTx/>
              <a:latin typeface="Arial"/>
              <a:cs typeface="Arial"/>
              <a:sym typeface="Arial"/>
            </a:rPr>
            <a:t> Throughout this presentation, various terms and calculations are employed.  The following are definitions and explanations of the basis of calculation of performance numbers included herein (all numbers are based on unaudited financial statements as of the Calculation Date unless otherwise indicated): </a:t>
          </a: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xdr:txBody>
    </xdr:sp>
    <xdr:clientData/>
  </xdr:twoCellAnchor>
  <xdr:twoCellAnchor editAs="oneCell">
    <xdr:from>
      <xdr:col>1</xdr:col>
      <xdr:colOff>114903</xdr:colOff>
      <xdr:row>19</xdr:row>
      <xdr:rowOff>81039</xdr:rowOff>
    </xdr:from>
    <xdr:to>
      <xdr:col>22</xdr:col>
      <xdr:colOff>30900</xdr:colOff>
      <xdr:row>50</xdr:row>
      <xdr:rowOff>54429</xdr:rowOff>
    </xdr:to>
    <xdr:pic>
      <xdr:nvPicPr>
        <xdr:cNvPr id="7" name="Picture 6">
          <a:extLst>
            <a:ext uri="{FF2B5EF4-FFF2-40B4-BE49-F238E27FC236}">
              <a16:creationId xmlns:a16="http://schemas.microsoft.com/office/drawing/2014/main" id="{2C3352FD-FA06-C8E3-0E31-172E95885A04}"/>
            </a:ext>
          </a:extLst>
        </xdr:cNvPr>
        <xdr:cNvPicPr>
          <a:picLocks noChangeAspect="1"/>
        </xdr:cNvPicPr>
      </xdr:nvPicPr>
      <xdr:blipFill>
        <a:blip xmlns:r="http://schemas.openxmlformats.org/officeDocument/2006/relationships" r:embed="rId1"/>
        <a:stretch>
          <a:fillRect/>
        </a:stretch>
      </xdr:blipFill>
      <xdr:spPr>
        <a:xfrm>
          <a:off x="949474" y="3872896"/>
          <a:ext cx="17441997" cy="616010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2A2-5A58-D541-A269-D0B11C89962C}">
  <dimension ref="B2:AP66"/>
  <sheetViews>
    <sheetView topLeftCell="A54" zoomScale="89" workbookViewId="0">
      <selection activeCell="E66" sqref="A66:XFD66"/>
    </sheetView>
  </sheetViews>
  <sheetFormatPr baseColWidth="10" defaultRowHeight="16" outlineLevelRow="1" outlineLevelCol="1" x14ac:dyDescent="0.2"/>
  <cols>
    <col min="3" max="3" width="35.5" customWidth="1"/>
    <col min="4" max="4" width="15.83203125" customWidth="1"/>
    <col min="8" max="8" width="11.6640625" bestFit="1" customWidth="1"/>
    <col min="9" max="12" width="11.83203125" customWidth="1"/>
    <col min="13" max="13" width="10.83203125" customWidth="1" outlineLevel="1"/>
    <col min="14" max="14" width="11.1640625" customWidth="1" outlineLevel="1"/>
    <col min="15" max="16" width="17.83203125" customWidth="1" outlineLevel="1"/>
    <col min="17" max="17" width="10.83203125" customWidth="1" outlineLevel="1"/>
    <col min="18" max="25" width="12.83203125" customWidth="1" outlineLevel="1"/>
    <col min="26" max="26" width="5" customWidth="1"/>
    <col min="27" max="27" width="121.1640625" customWidth="1"/>
    <col min="28" max="28" width="6.5" customWidth="1"/>
    <col min="29" max="29" width="25.83203125" customWidth="1"/>
    <col min="30" max="30" width="11" bestFit="1" customWidth="1"/>
    <col min="31" max="31" width="11.1640625" bestFit="1" customWidth="1"/>
    <col min="34" max="34" width="25.83203125" customWidth="1"/>
    <col min="35" max="35" width="11" bestFit="1" customWidth="1"/>
    <col min="36" max="36" width="11.1640625" bestFit="1" customWidth="1"/>
    <col min="39" max="39" width="25.83203125" customWidth="1"/>
    <col min="40" max="42" width="15.83203125" customWidth="1"/>
  </cols>
  <sheetData>
    <row r="2" spans="2:42" ht="19" x14ac:dyDescent="0.35">
      <c r="C2" s="17" t="s">
        <v>88</v>
      </c>
      <c r="D2" s="17"/>
      <c r="E2" s="17"/>
      <c r="F2" s="17"/>
      <c r="G2" s="17"/>
      <c r="H2" s="17"/>
      <c r="I2" s="17"/>
      <c r="J2" s="17"/>
      <c r="K2" s="17"/>
      <c r="L2" s="17"/>
      <c r="M2" s="17"/>
      <c r="N2" s="17"/>
      <c r="O2" s="17"/>
      <c r="P2" s="17"/>
      <c r="Q2" s="17"/>
      <c r="R2" s="17"/>
      <c r="S2" s="17"/>
      <c r="T2" s="17"/>
      <c r="U2" s="17"/>
      <c r="V2" s="17"/>
      <c r="W2" s="17"/>
      <c r="X2" s="17"/>
      <c r="Y2" s="17"/>
      <c r="Z2" s="17"/>
      <c r="AA2" s="17"/>
      <c r="AD2" s="16" t="s">
        <v>47</v>
      </c>
      <c r="AE2" s="16"/>
      <c r="AF2" s="16"/>
      <c r="AI2" s="16" t="s">
        <v>81</v>
      </c>
      <c r="AJ2" s="16"/>
      <c r="AK2" s="16"/>
      <c r="AN2" s="16" t="s">
        <v>82</v>
      </c>
      <c r="AO2" s="16"/>
      <c r="AP2" s="16"/>
    </row>
    <row r="3" spans="2:42" ht="19" x14ac:dyDescent="0.35">
      <c r="C3" s="18" t="s">
        <v>50</v>
      </c>
      <c r="D3" s="18"/>
      <c r="E3" s="19" t="s">
        <v>90</v>
      </c>
      <c r="F3" s="19"/>
      <c r="G3" s="19"/>
      <c r="H3" s="19"/>
      <c r="I3" s="19" t="s">
        <v>35</v>
      </c>
      <c r="J3" s="19"/>
      <c r="K3" s="19" t="s">
        <v>41</v>
      </c>
      <c r="L3" s="19"/>
      <c r="M3" s="20"/>
      <c r="N3" s="19" t="s">
        <v>37</v>
      </c>
      <c r="O3" s="19"/>
      <c r="P3" s="19"/>
      <c r="Q3" s="20"/>
      <c r="R3" s="19" t="s">
        <v>40</v>
      </c>
      <c r="S3" s="19"/>
      <c r="T3" s="19"/>
      <c r="U3" s="19"/>
      <c r="V3" s="19" t="s">
        <v>43</v>
      </c>
      <c r="W3" s="19"/>
      <c r="X3" s="19"/>
      <c r="Y3" s="19"/>
      <c r="Z3" s="20"/>
      <c r="AA3" s="20"/>
      <c r="AE3" s="4" t="s">
        <v>49</v>
      </c>
      <c r="AF3" s="4"/>
      <c r="AJ3" s="4" t="s">
        <v>49</v>
      </c>
      <c r="AK3" s="4"/>
      <c r="AO3" s="4" t="s">
        <v>49</v>
      </c>
      <c r="AP3" s="4"/>
    </row>
    <row r="4" spans="2:42" ht="19" x14ac:dyDescent="0.35">
      <c r="B4" s="2" t="s">
        <v>99</v>
      </c>
      <c r="C4" s="21" t="s">
        <v>44</v>
      </c>
      <c r="D4" s="70" t="s">
        <v>97</v>
      </c>
      <c r="E4" s="19" t="s">
        <v>25</v>
      </c>
      <c r="F4" s="22" t="s">
        <v>95</v>
      </c>
      <c r="G4" s="22" t="s">
        <v>96</v>
      </c>
      <c r="H4" s="19" t="s">
        <v>26</v>
      </c>
      <c r="I4" s="22" t="s">
        <v>42</v>
      </c>
      <c r="J4" s="19" t="s">
        <v>26</v>
      </c>
      <c r="K4" s="22" t="s">
        <v>42</v>
      </c>
      <c r="L4" s="19" t="s">
        <v>26</v>
      </c>
      <c r="M4" s="20"/>
      <c r="N4" s="19" t="s">
        <v>36</v>
      </c>
      <c r="O4" s="19" t="s">
        <v>78</v>
      </c>
      <c r="P4" s="19" t="s">
        <v>79</v>
      </c>
      <c r="Q4" s="20"/>
      <c r="R4" s="19" t="s">
        <v>25</v>
      </c>
      <c r="S4" s="19" t="s">
        <v>95</v>
      </c>
      <c r="T4" s="19" t="s">
        <v>25</v>
      </c>
      <c r="U4" s="19" t="s">
        <v>26</v>
      </c>
      <c r="V4" s="19" t="s">
        <v>25</v>
      </c>
      <c r="W4" s="19" t="s">
        <v>39</v>
      </c>
      <c r="X4" s="19" t="s">
        <v>25</v>
      </c>
      <c r="Y4" s="19" t="s">
        <v>26</v>
      </c>
      <c r="Z4" s="20"/>
      <c r="AA4" s="21" t="s">
        <v>83</v>
      </c>
      <c r="AB4" s="9"/>
      <c r="AC4" s="9" t="s">
        <v>44</v>
      </c>
      <c r="AD4" s="4" t="s">
        <v>48</v>
      </c>
      <c r="AE4" s="6" t="s">
        <v>42</v>
      </c>
      <c r="AF4" s="4" t="s">
        <v>26</v>
      </c>
      <c r="AH4" s="9" t="s">
        <v>44</v>
      </c>
      <c r="AI4" s="4" t="s">
        <v>48</v>
      </c>
      <c r="AJ4" s="6" t="s">
        <v>42</v>
      </c>
      <c r="AK4" s="4" t="s">
        <v>26</v>
      </c>
      <c r="AM4" s="9" t="s">
        <v>44</v>
      </c>
      <c r="AN4" s="4" t="s">
        <v>48</v>
      </c>
      <c r="AO4" s="6" t="s">
        <v>42</v>
      </c>
      <c r="AP4" s="4" t="s">
        <v>26</v>
      </c>
    </row>
    <row r="5" spans="2:42" ht="15" customHeight="1" x14ac:dyDescent="0.2">
      <c r="B5" s="2" t="s">
        <v>100</v>
      </c>
      <c r="C5" s="55" t="s">
        <v>28</v>
      </c>
      <c r="D5" s="71" t="s">
        <v>98</v>
      </c>
      <c r="E5" s="56">
        <f>244/0.45</f>
        <v>542.22222222222217</v>
      </c>
      <c r="F5" s="56">
        <v>5500</v>
      </c>
      <c r="G5" s="56">
        <v>5500</v>
      </c>
      <c r="H5" s="56">
        <v>5500</v>
      </c>
      <c r="I5" s="57">
        <f>F5/$E5</f>
        <v>10.14344262295082</v>
      </c>
      <c r="J5" s="57">
        <f>H5/$E5</f>
        <v>10.14344262295082</v>
      </c>
      <c r="K5" s="58">
        <f>IFERROR(XIRR(V5:W5,R5:S5),-1)</f>
        <v>0.84067312479019174</v>
      </c>
      <c r="L5" s="58">
        <f>IFERROR(XIRR(X5:Y5,T5:U5),-1)</f>
        <v>0.62039895653724686</v>
      </c>
      <c r="M5" s="59"/>
      <c r="N5" s="60">
        <v>171734.12</v>
      </c>
      <c r="O5" s="58">
        <f t="shared" ref="O5:O38" si="0">N5/$N$44</f>
        <v>0.14583383789005941</v>
      </c>
      <c r="P5" s="58"/>
      <c r="Q5" s="56"/>
      <c r="R5" s="61">
        <v>43905</v>
      </c>
      <c r="S5" s="61">
        <v>45291</v>
      </c>
      <c r="T5" s="61">
        <f>R5</f>
        <v>43905</v>
      </c>
      <c r="U5" s="61">
        <v>45657</v>
      </c>
      <c r="V5" s="62">
        <f>-$N5</f>
        <v>-171734.12</v>
      </c>
      <c r="W5" s="62">
        <f>-$V5*I5</f>
        <v>1741975.1926229508</v>
      </c>
      <c r="X5" s="62">
        <f>-$N5</f>
        <v>-171734.12</v>
      </c>
      <c r="Y5" s="62">
        <f>-$V5*J5</f>
        <v>1741975.1926229508</v>
      </c>
      <c r="Z5" s="59"/>
      <c r="AA5" s="59" t="s">
        <v>73</v>
      </c>
      <c r="AC5" s="1" t="str">
        <f>C5</f>
        <v>Quantinuum</v>
      </c>
      <c r="AD5" s="5">
        <v>22302.19</v>
      </c>
      <c r="AE5" s="5">
        <f>$AD5*I5</f>
        <v>226220.98463114753</v>
      </c>
      <c r="AF5" s="5">
        <f>$AD5*J5</f>
        <v>226220.98463114753</v>
      </c>
      <c r="AH5" s="1" t="str">
        <f>AC5</f>
        <v>Quantinuum</v>
      </c>
      <c r="AI5" s="5">
        <v>27877.739999999998</v>
      </c>
      <c r="AJ5" s="5">
        <f>$AI5*I5</f>
        <v>282776.25614754099</v>
      </c>
      <c r="AK5" s="5">
        <f>$AI5*J5</f>
        <v>282776.25614754099</v>
      </c>
      <c r="AM5" s="1" t="str">
        <f>AH5</f>
        <v>Quantinuum</v>
      </c>
      <c r="AN5" s="5">
        <v>111510.94</v>
      </c>
      <c r="AO5" s="5">
        <f>$AN5*I5</f>
        <v>1131104.8217213117</v>
      </c>
      <c r="AP5" s="5">
        <f>$AN5*J5</f>
        <v>1131104.8217213117</v>
      </c>
    </row>
    <row r="6" spans="2:42" ht="15" customHeight="1" x14ac:dyDescent="0.2">
      <c r="B6" s="2" t="s">
        <v>100</v>
      </c>
      <c r="C6" s="55" t="s">
        <v>19</v>
      </c>
      <c r="D6" s="71" t="s">
        <v>98</v>
      </c>
      <c r="E6" s="56" t="s">
        <v>27</v>
      </c>
      <c r="F6" s="56" t="s">
        <v>27</v>
      </c>
      <c r="G6" s="56" t="s">
        <v>27</v>
      </c>
      <c r="H6" s="56" t="s">
        <v>27</v>
      </c>
      <c r="I6" s="57">
        <v>1</v>
      </c>
      <c r="J6" s="57">
        <v>1</v>
      </c>
      <c r="K6" s="58">
        <f t="shared" ref="K6:K34" si="1">IFERROR(XIRR(V6:W6,R6:S6),-1)</f>
        <v>2.9802322387695314E-9</v>
      </c>
      <c r="L6" s="58">
        <f t="shared" ref="L6:L34" si="2">IFERROR(XIRR(X6:Y6,T6:U6),-1)</f>
        <v>2.9802322387695314E-9</v>
      </c>
      <c r="M6" s="59"/>
      <c r="N6" s="60">
        <v>30000</v>
      </c>
      <c r="O6" s="58">
        <f t="shared" si="0"/>
        <v>2.5475514922146995E-2</v>
      </c>
      <c r="P6" s="58"/>
      <c r="Q6" s="56"/>
      <c r="R6" s="61">
        <v>43922</v>
      </c>
      <c r="S6" s="61">
        <f>S5</f>
        <v>45291</v>
      </c>
      <c r="T6" s="61">
        <f t="shared" ref="T6:T34" si="3">R6</f>
        <v>43922</v>
      </c>
      <c r="U6" s="61">
        <f>U5</f>
        <v>45657</v>
      </c>
      <c r="V6" s="62">
        <f t="shared" ref="V6:X37" si="4">-$N6</f>
        <v>-30000</v>
      </c>
      <c r="W6" s="62">
        <f t="shared" ref="W6:W34" si="5">-$V6*I6</f>
        <v>30000</v>
      </c>
      <c r="X6" s="62">
        <f t="shared" si="4"/>
        <v>-30000</v>
      </c>
      <c r="Y6" s="62">
        <f t="shared" ref="Y6:Y34" si="6">-$V6*J6</f>
        <v>30000</v>
      </c>
      <c r="Z6" s="59"/>
      <c r="AA6" s="59" t="s">
        <v>51</v>
      </c>
      <c r="AC6" s="1" t="str">
        <f t="shared" ref="AC6:AC36" si="7">C6</f>
        <v>Puris</v>
      </c>
      <c r="AD6" s="5">
        <v>15000</v>
      </c>
      <c r="AE6" s="5">
        <f t="shared" ref="AE6:AE34" si="8">$AD6*I6</f>
        <v>15000</v>
      </c>
      <c r="AF6" s="5">
        <f t="shared" ref="AF6:AF34" si="9">$AD6*J6</f>
        <v>15000</v>
      </c>
      <c r="AH6" s="1" t="str">
        <f t="shared" ref="AH6:AH36" si="10">AC6</f>
        <v>Puris</v>
      </c>
      <c r="AI6" s="5">
        <v>0</v>
      </c>
      <c r="AJ6" s="5">
        <f t="shared" ref="AJ6:AJ34" si="11">$AI6*I6</f>
        <v>0</v>
      </c>
      <c r="AK6" s="5">
        <f t="shared" ref="AK6:AK34" si="12">$AI6*J6</f>
        <v>0</v>
      </c>
      <c r="AM6" s="1" t="str">
        <f t="shared" ref="AM6:AM36" si="13">AH6</f>
        <v>Puris</v>
      </c>
      <c r="AN6" s="5">
        <v>0</v>
      </c>
      <c r="AO6" s="5">
        <f t="shared" ref="AO6:AO34" si="14">$AN6*I6</f>
        <v>0</v>
      </c>
      <c r="AP6" s="5">
        <f t="shared" ref="AP6:AP34" si="15">$AN6*J6</f>
        <v>0</v>
      </c>
    </row>
    <row r="7" spans="2:42" ht="15" customHeight="1" x14ac:dyDescent="0.2">
      <c r="B7" s="2" t="s">
        <v>100</v>
      </c>
      <c r="C7" s="55" t="s">
        <v>20</v>
      </c>
      <c r="D7" s="71" t="s">
        <v>98</v>
      </c>
      <c r="E7" s="56" t="s">
        <v>27</v>
      </c>
      <c r="F7" s="56" t="s">
        <v>27</v>
      </c>
      <c r="G7" s="56" t="s">
        <v>27</v>
      </c>
      <c r="H7" s="56" t="s">
        <v>27</v>
      </c>
      <c r="I7" s="57">
        <v>1</v>
      </c>
      <c r="J7" s="57">
        <v>1</v>
      </c>
      <c r="K7" s="58">
        <f t="shared" si="1"/>
        <v>2.9802322387695314E-9</v>
      </c>
      <c r="L7" s="58">
        <f t="shared" si="2"/>
        <v>2.9802322387695314E-9</v>
      </c>
      <c r="M7" s="59"/>
      <c r="N7" s="60">
        <v>31324.2</v>
      </c>
      <c r="O7" s="58">
        <f t="shared" si="0"/>
        <v>2.6600004150810565E-2</v>
      </c>
      <c r="P7" s="58"/>
      <c r="Q7" s="56"/>
      <c r="R7" s="61">
        <v>44356</v>
      </c>
      <c r="S7" s="61">
        <f t="shared" ref="S7:S34" si="16">S6</f>
        <v>45291</v>
      </c>
      <c r="T7" s="61">
        <f t="shared" si="3"/>
        <v>44356</v>
      </c>
      <c r="U7" s="61">
        <f t="shared" ref="U7:U35" si="17">U6</f>
        <v>45657</v>
      </c>
      <c r="V7" s="62">
        <f t="shared" si="4"/>
        <v>-31324.2</v>
      </c>
      <c r="W7" s="62">
        <f t="shared" si="5"/>
        <v>31324.2</v>
      </c>
      <c r="X7" s="62">
        <f t="shared" si="4"/>
        <v>-31324.2</v>
      </c>
      <c r="Y7" s="62">
        <f t="shared" si="6"/>
        <v>31324.2</v>
      </c>
      <c r="Z7" s="59"/>
      <c r="AA7" s="59" t="s">
        <v>51</v>
      </c>
      <c r="AC7" s="1" t="str">
        <f t="shared" si="7"/>
        <v>Mooala</v>
      </c>
      <c r="AD7" s="5">
        <v>22557.08</v>
      </c>
      <c r="AE7" s="5">
        <f t="shared" si="8"/>
        <v>22557.08</v>
      </c>
      <c r="AF7" s="5">
        <f t="shared" si="9"/>
        <v>22557.08</v>
      </c>
      <c r="AH7" s="1" t="str">
        <f t="shared" si="10"/>
        <v>Mooala</v>
      </c>
      <c r="AI7" s="5">
        <v>0</v>
      </c>
      <c r="AJ7" s="5">
        <f t="shared" si="11"/>
        <v>0</v>
      </c>
      <c r="AK7" s="5">
        <f t="shared" si="12"/>
        <v>0</v>
      </c>
      <c r="AM7" s="1" t="str">
        <f t="shared" si="13"/>
        <v>Mooala</v>
      </c>
      <c r="AN7" s="5">
        <v>0</v>
      </c>
      <c r="AO7" s="5">
        <f t="shared" si="14"/>
        <v>0</v>
      </c>
      <c r="AP7" s="5">
        <f t="shared" si="15"/>
        <v>0</v>
      </c>
    </row>
    <row r="8" spans="2:42" ht="15" customHeight="1" x14ac:dyDescent="0.2">
      <c r="B8" s="2" t="s">
        <v>100</v>
      </c>
      <c r="C8" s="55" t="s">
        <v>30</v>
      </c>
      <c r="D8" s="71" t="s">
        <v>98</v>
      </c>
      <c r="E8" s="56">
        <v>51.3</v>
      </c>
      <c r="F8" s="56">
        <v>125</v>
      </c>
      <c r="G8" s="56">
        <v>125</v>
      </c>
      <c r="H8" s="56">
        <v>300</v>
      </c>
      <c r="I8" s="57">
        <f>F8/$E8</f>
        <v>2.4366471734892787</v>
      </c>
      <c r="J8" s="57">
        <f>H8/$E8</f>
        <v>5.8479532163742691</v>
      </c>
      <c r="K8" s="58">
        <f t="shared" si="1"/>
        <v>0.28964135050773621</v>
      </c>
      <c r="L8" s="58">
        <f t="shared" si="2"/>
        <v>0.48009569048881517</v>
      </c>
      <c r="M8" s="59"/>
      <c r="N8" s="60">
        <v>16000</v>
      </c>
      <c r="O8" s="58">
        <f t="shared" si="0"/>
        <v>1.3586941291811731E-2</v>
      </c>
      <c r="P8" s="58"/>
      <c r="Q8" s="56"/>
      <c r="R8" s="61">
        <v>44013</v>
      </c>
      <c r="S8" s="61">
        <f t="shared" si="16"/>
        <v>45291</v>
      </c>
      <c r="T8" s="61">
        <f t="shared" si="3"/>
        <v>44013</v>
      </c>
      <c r="U8" s="61">
        <f t="shared" si="17"/>
        <v>45657</v>
      </c>
      <c r="V8" s="62">
        <f t="shared" si="4"/>
        <v>-16000</v>
      </c>
      <c r="W8" s="62">
        <f t="shared" si="5"/>
        <v>38986.354775828462</v>
      </c>
      <c r="X8" s="62">
        <f t="shared" si="4"/>
        <v>-16000</v>
      </c>
      <c r="Y8" s="62">
        <f t="shared" si="6"/>
        <v>93567.2514619883</v>
      </c>
      <c r="Z8" s="59"/>
      <c r="AA8" s="59" t="s">
        <v>52</v>
      </c>
      <c r="AC8" s="1" t="str">
        <f t="shared" si="7"/>
        <v>ALL.SPACE (Jul-20 Convert)</v>
      </c>
      <c r="AD8" s="5">
        <v>10000</v>
      </c>
      <c r="AE8" s="5">
        <f t="shared" si="8"/>
        <v>24366.471734892788</v>
      </c>
      <c r="AF8" s="5">
        <f t="shared" si="9"/>
        <v>58479.53216374269</v>
      </c>
      <c r="AH8" s="1" t="str">
        <f t="shared" si="10"/>
        <v>ALL.SPACE (Jul-20 Convert)</v>
      </c>
      <c r="AI8" s="5">
        <v>0</v>
      </c>
      <c r="AJ8" s="5">
        <f t="shared" si="11"/>
        <v>0</v>
      </c>
      <c r="AK8" s="5">
        <f t="shared" si="12"/>
        <v>0</v>
      </c>
      <c r="AM8" s="1" t="str">
        <f t="shared" si="13"/>
        <v>ALL.SPACE (Jul-20 Convert)</v>
      </c>
      <c r="AN8" s="5">
        <v>0</v>
      </c>
      <c r="AO8" s="5">
        <f t="shared" si="14"/>
        <v>0</v>
      </c>
      <c r="AP8" s="5">
        <f t="shared" si="15"/>
        <v>0</v>
      </c>
    </row>
    <row r="9" spans="2:42" ht="15" customHeight="1" x14ac:dyDescent="0.2">
      <c r="B9" s="2" t="s">
        <v>100</v>
      </c>
      <c r="C9" s="55" t="s">
        <v>38</v>
      </c>
      <c r="D9" s="71" t="s">
        <v>98</v>
      </c>
      <c r="E9" s="56">
        <v>235</v>
      </c>
      <c r="F9" s="56">
        <v>125</v>
      </c>
      <c r="G9" s="56">
        <v>125</v>
      </c>
      <c r="H9" s="56">
        <v>300</v>
      </c>
      <c r="I9" s="57">
        <f>F9/$E9</f>
        <v>0.53191489361702127</v>
      </c>
      <c r="J9" s="57">
        <f>H9/$E9</f>
        <v>1.2765957446808511</v>
      </c>
      <c r="K9" s="58">
        <f t="shared" si="1"/>
        <v>-0.23220803365111353</v>
      </c>
      <c r="L9" s="58">
        <f t="shared" si="2"/>
        <v>7.4651774764060971E-2</v>
      </c>
      <c r="M9" s="59"/>
      <c r="N9" s="60">
        <v>215000</v>
      </c>
      <c r="O9" s="58">
        <f t="shared" si="0"/>
        <v>0.18257452360872012</v>
      </c>
      <c r="P9" s="58"/>
      <c r="Q9" s="56"/>
      <c r="R9" s="61">
        <v>44419</v>
      </c>
      <c r="S9" s="61">
        <f t="shared" si="16"/>
        <v>45291</v>
      </c>
      <c r="T9" s="61">
        <f t="shared" si="3"/>
        <v>44419</v>
      </c>
      <c r="U9" s="61">
        <f t="shared" si="17"/>
        <v>45657</v>
      </c>
      <c r="V9" s="62">
        <f t="shared" si="4"/>
        <v>-215000</v>
      </c>
      <c r="W9" s="62">
        <f t="shared" si="5"/>
        <v>114361.70212765958</v>
      </c>
      <c r="X9" s="62">
        <f t="shared" si="4"/>
        <v>-215000</v>
      </c>
      <c r="Y9" s="62">
        <f t="shared" si="6"/>
        <v>274468.08510638302</v>
      </c>
      <c r="Z9" s="59"/>
      <c r="AA9" s="59" t="s">
        <v>52</v>
      </c>
      <c r="AC9" s="1" t="str">
        <f t="shared" si="7"/>
        <v>ALL.SPACE (Aug-21 Series B)</v>
      </c>
      <c r="AD9" s="5">
        <v>65000</v>
      </c>
      <c r="AE9" s="5">
        <f t="shared" si="8"/>
        <v>34574.468085106382</v>
      </c>
      <c r="AF9" s="5">
        <f t="shared" si="9"/>
        <v>82978.723404255317</v>
      </c>
      <c r="AH9" s="1" t="str">
        <f t="shared" si="10"/>
        <v>ALL.SPACE (Aug-21 Series B)</v>
      </c>
      <c r="AI9" s="5">
        <v>25000</v>
      </c>
      <c r="AJ9" s="5">
        <f t="shared" si="11"/>
        <v>13297.872340425532</v>
      </c>
      <c r="AK9" s="5">
        <f t="shared" si="12"/>
        <v>31914.893617021276</v>
      </c>
      <c r="AM9" s="1" t="str">
        <f t="shared" si="13"/>
        <v>ALL.SPACE (Aug-21 Series B)</v>
      </c>
      <c r="AN9" s="5">
        <v>100000</v>
      </c>
      <c r="AO9" s="5">
        <f t="shared" si="14"/>
        <v>53191.48936170213</v>
      </c>
      <c r="AP9" s="5">
        <f t="shared" si="15"/>
        <v>127659.57446808511</v>
      </c>
    </row>
    <row r="10" spans="2:42" ht="15" customHeight="1" x14ac:dyDescent="0.2">
      <c r="B10" s="2" t="s">
        <v>100</v>
      </c>
      <c r="C10" s="55" t="s">
        <v>21</v>
      </c>
      <c r="D10" s="71" t="s">
        <v>98</v>
      </c>
      <c r="E10" s="56">
        <v>12.8</v>
      </c>
      <c r="F10" s="56">
        <v>7.5</v>
      </c>
      <c r="G10" s="56">
        <v>7.5</v>
      </c>
      <c r="H10" s="56">
        <v>20</v>
      </c>
      <c r="I10" s="57">
        <f t="shared" ref="I10:I53" si="18">F10/$E10</f>
        <v>0.5859375</v>
      </c>
      <c r="J10" s="57">
        <f t="shared" ref="J10:J53" si="19">H10/$E10</f>
        <v>1.5625</v>
      </c>
      <c r="K10" s="58">
        <f t="shared" si="1"/>
        <v>-0.1676852259784937</v>
      </c>
      <c r="L10" s="58">
        <f t="shared" si="2"/>
        <v>0.12074334025382993</v>
      </c>
      <c r="M10" s="59"/>
      <c r="N10" s="60">
        <v>18000</v>
      </c>
      <c r="O10" s="58">
        <f t="shared" si="0"/>
        <v>1.5285308953288198E-2</v>
      </c>
      <c r="P10" s="58"/>
      <c r="Q10" s="56"/>
      <c r="R10" s="61">
        <v>44228</v>
      </c>
      <c r="S10" s="61">
        <f t="shared" si="16"/>
        <v>45291</v>
      </c>
      <c r="T10" s="61">
        <f t="shared" si="3"/>
        <v>44228</v>
      </c>
      <c r="U10" s="61">
        <f t="shared" si="17"/>
        <v>45657</v>
      </c>
      <c r="V10" s="62">
        <f t="shared" si="4"/>
        <v>-18000</v>
      </c>
      <c r="W10" s="62">
        <f t="shared" si="5"/>
        <v>10546.875</v>
      </c>
      <c r="X10" s="62">
        <f t="shared" si="4"/>
        <v>-18000</v>
      </c>
      <c r="Y10" s="62">
        <f t="shared" si="6"/>
        <v>28125</v>
      </c>
      <c r="Z10" s="59"/>
      <c r="AA10" s="59" t="s">
        <v>53</v>
      </c>
      <c r="AC10" s="1" t="str">
        <f t="shared" si="7"/>
        <v>KAYA</v>
      </c>
      <c r="AD10" s="5">
        <v>5000</v>
      </c>
      <c r="AE10" s="5">
        <f t="shared" si="8"/>
        <v>2929.6875</v>
      </c>
      <c r="AF10" s="5">
        <f t="shared" si="9"/>
        <v>7812.5</v>
      </c>
      <c r="AH10" s="1" t="str">
        <f t="shared" si="10"/>
        <v>KAYA</v>
      </c>
      <c r="AI10" s="5">
        <v>0</v>
      </c>
      <c r="AJ10" s="5">
        <f t="shared" si="11"/>
        <v>0</v>
      </c>
      <c r="AK10" s="5">
        <f t="shared" si="12"/>
        <v>0</v>
      </c>
      <c r="AM10" s="1" t="str">
        <f t="shared" si="13"/>
        <v>KAYA</v>
      </c>
      <c r="AN10" s="5">
        <v>0</v>
      </c>
      <c r="AO10" s="5">
        <f t="shared" si="14"/>
        <v>0</v>
      </c>
      <c r="AP10" s="5">
        <f t="shared" si="15"/>
        <v>0</v>
      </c>
    </row>
    <row r="11" spans="2:42" ht="15" customHeight="1" x14ac:dyDescent="0.2">
      <c r="B11" s="2" t="s">
        <v>100</v>
      </c>
      <c r="C11" s="55" t="s">
        <v>22</v>
      </c>
      <c r="D11" s="71" t="s">
        <v>98</v>
      </c>
      <c r="E11" s="56">
        <v>28</v>
      </c>
      <c r="F11" s="56">
        <v>0</v>
      </c>
      <c r="G11" s="56">
        <v>0</v>
      </c>
      <c r="H11" s="56">
        <v>0</v>
      </c>
      <c r="I11" s="57">
        <f t="shared" si="18"/>
        <v>0</v>
      </c>
      <c r="J11" s="57">
        <f t="shared" si="19"/>
        <v>0</v>
      </c>
      <c r="K11" s="58">
        <f t="shared" si="1"/>
        <v>-1</v>
      </c>
      <c r="L11" s="58">
        <f t="shared" si="2"/>
        <v>-1</v>
      </c>
      <c r="M11" s="59"/>
      <c r="N11" s="60">
        <v>35000</v>
      </c>
      <c r="O11" s="58">
        <f t="shared" si="0"/>
        <v>2.972143407583816E-2</v>
      </c>
      <c r="P11" s="58"/>
      <c r="Q11" s="56"/>
      <c r="R11" s="61">
        <v>44375</v>
      </c>
      <c r="S11" s="61">
        <f t="shared" si="16"/>
        <v>45291</v>
      </c>
      <c r="T11" s="61">
        <f t="shared" si="3"/>
        <v>44375</v>
      </c>
      <c r="U11" s="61">
        <f t="shared" si="17"/>
        <v>45657</v>
      </c>
      <c r="V11" s="62">
        <f t="shared" si="4"/>
        <v>-35000</v>
      </c>
      <c r="W11" s="62">
        <f t="shared" si="5"/>
        <v>0</v>
      </c>
      <c r="X11" s="62">
        <f t="shared" si="4"/>
        <v>-35000</v>
      </c>
      <c r="Y11" s="62">
        <f t="shared" si="6"/>
        <v>0</v>
      </c>
      <c r="Z11" s="59"/>
      <c r="AA11" s="59" t="s">
        <v>60</v>
      </c>
      <c r="AC11" s="1" t="str">
        <f t="shared" si="7"/>
        <v>Pico</v>
      </c>
      <c r="AD11" s="5">
        <v>5000</v>
      </c>
      <c r="AE11" s="5">
        <f t="shared" si="8"/>
        <v>0</v>
      </c>
      <c r="AF11" s="5">
        <f t="shared" si="9"/>
        <v>0</v>
      </c>
      <c r="AH11" s="1" t="str">
        <f t="shared" si="10"/>
        <v>Pico</v>
      </c>
      <c r="AI11" s="5">
        <v>20000</v>
      </c>
      <c r="AJ11" s="5">
        <f t="shared" si="11"/>
        <v>0</v>
      </c>
      <c r="AK11" s="5">
        <f t="shared" si="12"/>
        <v>0</v>
      </c>
      <c r="AM11" s="1" t="str">
        <f t="shared" si="13"/>
        <v>Pico</v>
      </c>
      <c r="AN11" s="5">
        <v>0</v>
      </c>
      <c r="AO11" s="5">
        <f t="shared" si="14"/>
        <v>0</v>
      </c>
      <c r="AP11" s="5">
        <f t="shared" si="15"/>
        <v>0</v>
      </c>
    </row>
    <row r="12" spans="2:42" ht="15" customHeight="1" x14ac:dyDescent="0.2">
      <c r="B12" s="2" t="s">
        <v>100</v>
      </c>
      <c r="C12" s="55" t="s">
        <v>23</v>
      </c>
      <c r="D12" s="71" t="s">
        <v>98</v>
      </c>
      <c r="E12" s="56">
        <v>10</v>
      </c>
      <c r="F12" s="56">
        <v>19</v>
      </c>
      <c r="G12" s="56">
        <v>19</v>
      </c>
      <c r="H12" s="56">
        <v>40</v>
      </c>
      <c r="I12" s="57">
        <f t="shared" si="18"/>
        <v>1.9</v>
      </c>
      <c r="J12" s="57">
        <f t="shared" si="19"/>
        <v>4</v>
      </c>
      <c r="K12" s="58">
        <f t="shared" si="1"/>
        <v>0.29252924323081975</v>
      </c>
      <c r="L12" s="58">
        <f t="shared" si="2"/>
        <v>0.48530417084693911</v>
      </c>
      <c r="M12" s="59"/>
      <c r="N12" s="60">
        <v>62500</v>
      </c>
      <c r="O12" s="58">
        <f t="shared" si="0"/>
        <v>5.307398942113957E-2</v>
      </c>
      <c r="P12" s="58"/>
      <c r="Q12" s="56"/>
      <c r="R12" s="61">
        <v>44378</v>
      </c>
      <c r="S12" s="61">
        <f t="shared" si="16"/>
        <v>45291</v>
      </c>
      <c r="T12" s="61">
        <f t="shared" si="3"/>
        <v>44378</v>
      </c>
      <c r="U12" s="61">
        <f t="shared" si="17"/>
        <v>45657</v>
      </c>
      <c r="V12" s="62">
        <f t="shared" si="4"/>
        <v>-62500</v>
      </c>
      <c r="W12" s="62">
        <f t="shared" si="5"/>
        <v>118750</v>
      </c>
      <c r="X12" s="62">
        <f t="shared" si="4"/>
        <v>-62500</v>
      </c>
      <c r="Y12" s="62">
        <f t="shared" si="6"/>
        <v>250000</v>
      </c>
      <c r="Z12" s="59"/>
      <c r="AA12" s="59" t="s">
        <v>54</v>
      </c>
      <c r="AC12" s="1" t="str">
        <f t="shared" si="7"/>
        <v>Pierisca (Jul-21)</v>
      </c>
      <c r="AD12" s="5">
        <v>10000</v>
      </c>
      <c r="AE12" s="5">
        <f t="shared" si="8"/>
        <v>19000</v>
      </c>
      <c r="AF12" s="5">
        <f t="shared" si="9"/>
        <v>40000</v>
      </c>
      <c r="AH12" s="1" t="str">
        <f t="shared" si="10"/>
        <v>Pierisca (Jul-21)</v>
      </c>
      <c r="AI12" s="5">
        <v>5000</v>
      </c>
      <c r="AJ12" s="5">
        <f t="shared" si="11"/>
        <v>9500</v>
      </c>
      <c r="AK12" s="5">
        <f t="shared" si="12"/>
        <v>20000</v>
      </c>
      <c r="AM12" s="1" t="str">
        <f t="shared" si="13"/>
        <v>Pierisca (Jul-21)</v>
      </c>
      <c r="AN12" s="5">
        <v>39000</v>
      </c>
      <c r="AO12" s="5">
        <f t="shared" si="14"/>
        <v>74100</v>
      </c>
      <c r="AP12" s="5">
        <f t="shared" si="15"/>
        <v>156000</v>
      </c>
    </row>
    <row r="13" spans="2:42" ht="15" customHeight="1" x14ac:dyDescent="0.2">
      <c r="B13" s="2" t="s">
        <v>100</v>
      </c>
      <c r="C13" s="55" t="s">
        <v>0</v>
      </c>
      <c r="D13" s="71" t="s">
        <v>98</v>
      </c>
      <c r="E13" s="56">
        <v>12.5</v>
      </c>
      <c r="F13" s="56">
        <f>E13</f>
        <v>12.5</v>
      </c>
      <c r="G13" s="56">
        <f>F13</f>
        <v>12.5</v>
      </c>
      <c r="H13" s="56">
        <v>20</v>
      </c>
      <c r="I13" s="57">
        <f t="shared" si="18"/>
        <v>1</v>
      </c>
      <c r="J13" s="57">
        <f t="shared" si="19"/>
        <v>1.6</v>
      </c>
      <c r="K13" s="58">
        <f t="shared" si="1"/>
        <v>2.9802322387695314E-9</v>
      </c>
      <c r="L13" s="58">
        <f t="shared" si="2"/>
        <v>0.21443914771080022</v>
      </c>
      <c r="M13" s="59"/>
      <c r="N13" s="60">
        <v>10000</v>
      </c>
      <c r="O13" s="58">
        <f t="shared" si="0"/>
        <v>8.4918383073823312E-3</v>
      </c>
      <c r="P13" s="58">
        <f t="shared" ref="P13:P38" si="20">N13/SUM($N$13:$N$40)</f>
        <v>1.6721205665813327E-2</v>
      </c>
      <c r="Q13" s="59"/>
      <c r="R13" s="61">
        <v>44774</v>
      </c>
      <c r="S13" s="61">
        <f t="shared" si="16"/>
        <v>45291</v>
      </c>
      <c r="T13" s="61">
        <f t="shared" si="3"/>
        <v>44774</v>
      </c>
      <c r="U13" s="61">
        <f t="shared" si="17"/>
        <v>45657</v>
      </c>
      <c r="V13" s="62">
        <f t="shared" si="4"/>
        <v>-10000</v>
      </c>
      <c r="W13" s="62">
        <f t="shared" si="5"/>
        <v>10000</v>
      </c>
      <c r="X13" s="62">
        <f t="shared" si="4"/>
        <v>-10000</v>
      </c>
      <c r="Y13" s="62">
        <f t="shared" si="6"/>
        <v>16000</v>
      </c>
      <c r="Z13" s="59"/>
      <c r="AA13" s="59" t="s">
        <v>55</v>
      </c>
      <c r="AC13" s="1" t="str">
        <f t="shared" si="7"/>
        <v>Entendre Finance</v>
      </c>
      <c r="AD13" s="5">
        <v>4000</v>
      </c>
      <c r="AE13" s="5">
        <f t="shared" si="8"/>
        <v>4000</v>
      </c>
      <c r="AF13" s="5">
        <f t="shared" si="9"/>
        <v>6400</v>
      </c>
      <c r="AH13" s="1" t="str">
        <f t="shared" si="10"/>
        <v>Entendre Finance</v>
      </c>
      <c r="AI13" s="5">
        <v>5000</v>
      </c>
      <c r="AJ13" s="5">
        <f t="shared" si="11"/>
        <v>5000</v>
      </c>
      <c r="AK13" s="5">
        <f t="shared" si="12"/>
        <v>8000</v>
      </c>
      <c r="AM13" s="1" t="str">
        <f t="shared" si="13"/>
        <v>Entendre Finance</v>
      </c>
      <c r="AN13" s="5">
        <v>0</v>
      </c>
      <c r="AO13" s="5">
        <f t="shared" si="14"/>
        <v>0</v>
      </c>
      <c r="AP13" s="5">
        <f t="shared" si="15"/>
        <v>0</v>
      </c>
    </row>
    <row r="14" spans="2:42" ht="15" customHeight="1" x14ac:dyDescent="0.2">
      <c r="B14" s="2" t="s">
        <v>100</v>
      </c>
      <c r="C14" s="55" t="s">
        <v>1</v>
      </c>
      <c r="D14" s="71" t="s">
        <v>98</v>
      </c>
      <c r="E14" s="56">
        <v>60</v>
      </c>
      <c r="F14" s="56">
        <f>E14</f>
        <v>60</v>
      </c>
      <c r="G14" s="56">
        <f>F14</f>
        <v>60</v>
      </c>
      <c r="H14" s="56">
        <f>F14</f>
        <v>60</v>
      </c>
      <c r="I14" s="57">
        <f t="shared" si="18"/>
        <v>1</v>
      </c>
      <c r="J14" s="57">
        <f t="shared" si="19"/>
        <v>1</v>
      </c>
      <c r="K14" s="58">
        <f t="shared" si="1"/>
        <v>2.9802322387695314E-9</v>
      </c>
      <c r="L14" s="58">
        <f t="shared" si="2"/>
        <v>2.9802322387695314E-9</v>
      </c>
      <c r="M14" s="59"/>
      <c r="N14" s="60">
        <v>5000</v>
      </c>
      <c r="O14" s="58">
        <f t="shared" si="0"/>
        <v>4.2459191536911656E-3</v>
      </c>
      <c r="P14" s="58">
        <f t="shared" si="20"/>
        <v>8.3606028329066637E-3</v>
      </c>
      <c r="Q14" s="59"/>
      <c r="R14" s="61">
        <v>44774</v>
      </c>
      <c r="S14" s="61">
        <f t="shared" si="16"/>
        <v>45291</v>
      </c>
      <c r="T14" s="61">
        <f t="shared" si="3"/>
        <v>44774</v>
      </c>
      <c r="U14" s="61">
        <f t="shared" si="17"/>
        <v>45657</v>
      </c>
      <c r="V14" s="62">
        <f t="shared" si="4"/>
        <v>-5000</v>
      </c>
      <c r="W14" s="62">
        <f t="shared" si="5"/>
        <v>5000</v>
      </c>
      <c r="X14" s="62">
        <f t="shared" si="4"/>
        <v>-5000</v>
      </c>
      <c r="Y14" s="62">
        <f t="shared" si="6"/>
        <v>5000</v>
      </c>
      <c r="Z14" s="59"/>
      <c r="AA14" s="59" t="s">
        <v>56</v>
      </c>
      <c r="AC14" s="1" t="str">
        <f t="shared" si="7"/>
        <v>Crowdz</v>
      </c>
      <c r="AD14" s="5">
        <v>2000</v>
      </c>
      <c r="AE14" s="5">
        <f t="shared" si="8"/>
        <v>2000</v>
      </c>
      <c r="AF14" s="5">
        <f t="shared" si="9"/>
        <v>2000</v>
      </c>
      <c r="AH14" s="1" t="str">
        <f t="shared" si="10"/>
        <v>Crowdz</v>
      </c>
      <c r="AI14" s="5">
        <v>2000</v>
      </c>
      <c r="AJ14" s="5">
        <f t="shared" si="11"/>
        <v>2000</v>
      </c>
      <c r="AK14" s="5">
        <f t="shared" si="12"/>
        <v>2000</v>
      </c>
      <c r="AM14" s="1" t="str">
        <f t="shared" si="13"/>
        <v>Crowdz</v>
      </c>
      <c r="AN14" s="5">
        <v>0</v>
      </c>
      <c r="AO14" s="5">
        <f t="shared" si="14"/>
        <v>0</v>
      </c>
      <c r="AP14" s="5">
        <f t="shared" si="15"/>
        <v>0</v>
      </c>
    </row>
    <row r="15" spans="2:42" ht="15" customHeight="1" x14ac:dyDescent="0.2">
      <c r="B15" s="2" t="s">
        <v>100</v>
      </c>
      <c r="C15" s="55" t="s">
        <v>2</v>
      </c>
      <c r="D15" s="71" t="s">
        <v>98</v>
      </c>
      <c r="E15" s="56">
        <v>22</v>
      </c>
      <c r="F15" s="56">
        <v>0</v>
      </c>
      <c r="G15" s="56">
        <v>0</v>
      </c>
      <c r="H15" s="56">
        <f>F15</f>
        <v>0</v>
      </c>
      <c r="I15" s="57">
        <f t="shared" si="18"/>
        <v>0</v>
      </c>
      <c r="J15" s="57">
        <f t="shared" si="19"/>
        <v>0</v>
      </c>
      <c r="K15" s="58">
        <f t="shared" si="1"/>
        <v>-1</v>
      </c>
      <c r="L15" s="58">
        <f t="shared" si="2"/>
        <v>-1</v>
      </c>
      <c r="M15" s="59"/>
      <c r="N15" s="60">
        <v>45000</v>
      </c>
      <c r="O15" s="58">
        <f t="shared" si="0"/>
        <v>3.821327238322049E-2</v>
      </c>
      <c r="P15" s="58">
        <f t="shared" si="20"/>
        <v>7.5245425496159979E-2</v>
      </c>
      <c r="Q15" s="59"/>
      <c r="R15" s="61">
        <v>44792</v>
      </c>
      <c r="S15" s="61">
        <f t="shared" si="16"/>
        <v>45291</v>
      </c>
      <c r="T15" s="61">
        <f t="shared" si="3"/>
        <v>44792</v>
      </c>
      <c r="U15" s="61">
        <f t="shared" si="17"/>
        <v>45657</v>
      </c>
      <c r="V15" s="62">
        <f t="shared" si="4"/>
        <v>-45000</v>
      </c>
      <c r="W15" s="62">
        <f t="shared" si="5"/>
        <v>0</v>
      </c>
      <c r="X15" s="62">
        <f t="shared" si="4"/>
        <v>-45000</v>
      </c>
      <c r="Y15" s="62">
        <f t="shared" si="6"/>
        <v>0</v>
      </c>
      <c r="Z15" s="59"/>
      <c r="AA15" s="59" t="s">
        <v>59</v>
      </c>
      <c r="AC15" s="1" t="str">
        <f t="shared" si="7"/>
        <v>Bleximo</v>
      </c>
      <c r="AD15" s="5">
        <v>6000</v>
      </c>
      <c r="AE15" s="5">
        <f t="shared" si="8"/>
        <v>0</v>
      </c>
      <c r="AF15" s="5">
        <f t="shared" si="9"/>
        <v>0</v>
      </c>
      <c r="AH15" s="1" t="str">
        <f t="shared" si="10"/>
        <v>Bleximo</v>
      </c>
      <c r="AI15" s="5">
        <v>10000</v>
      </c>
      <c r="AJ15" s="5">
        <f t="shared" si="11"/>
        <v>0</v>
      </c>
      <c r="AK15" s="5">
        <f t="shared" si="12"/>
        <v>0</v>
      </c>
      <c r="AM15" s="1" t="str">
        <f t="shared" si="13"/>
        <v>Bleximo</v>
      </c>
      <c r="AN15" s="5">
        <v>20000</v>
      </c>
      <c r="AO15" s="5">
        <f t="shared" si="14"/>
        <v>0</v>
      </c>
      <c r="AP15" s="5">
        <f t="shared" si="15"/>
        <v>0</v>
      </c>
    </row>
    <row r="16" spans="2:42" ht="15" customHeight="1" x14ac:dyDescent="0.2">
      <c r="B16" s="2" t="s">
        <v>100</v>
      </c>
      <c r="C16" s="55" t="s">
        <v>3</v>
      </c>
      <c r="D16" s="71" t="s">
        <v>98</v>
      </c>
      <c r="E16" s="56">
        <f>30.5+16</f>
        <v>46.5</v>
      </c>
      <c r="F16" s="56">
        <f t="shared" ref="F16:G19" si="21">E16</f>
        <v>46.5</v>
      </c>
      <c r="G16" s="56">
        <f t="shared" si="21"/>
        <v>46.5</v>
      </c>
      <c r="H16" s="56">
        <v>150</v>
      </c>
      <c r="I16" s="57">
        <f t="shared" si="18"/>
        <v>1</v>
      </c>
      <c r="J16" s="57">
        <f t="shared" si="19"/>
        <v>3.225806451612903</v>
      </c>
      <c r="K16" s="58">
        <f t="shared" si="1"/>
        <v>2.9802322387695314E-9</v>
      </c>
      <c r="L16" s="58">
        <f t="shared" si="2"/>
        <v>0.65159119963645951</v>
      </c>
      <c r="M16" s="59"/>
      <c r="N16" s="60">
        <v>10000</v>
      </c>
      <c r="O16" s="58">
        <f t="shared" si="0"/>
        <v>8.4918383073823312E-3</v>
      </c>
      <c r="P16" s="58">
        <f t="shared" si="20"/>
        <v>1.6721205665813327E-2</v>
      </c>
      <c r="Q16" s="59"/>
      <c r="R16" s="61">
        <v>44805</v>
      </c>
      <c r="S16" s="61">
        <f t="shared" si="16"/>
        <v>45291</v>
      </c>
      <c r="T16" s="61">
        <f t="shared" si="3"/>
        <v>44805</v>
      </c>
      <c r="U16" s="61">
        <f t="shared" si="17"/>
        <v>45657</v>
      </c>
      <c r="V16" s="62">
        <f t="shared" si="4"/>
        <v>-10000</v>
      </c>
      <c r="W16" s="62">
        <f t="shared" si="5"/>
        <v>10000</v>
      </c>
      <c r="X16" s="62">
        <f t="shared" si="4"/>
        <v>-10000</v>
      </c>
      <c r="Y16" s="62">
        <f t="shared" si="6"/>
        <v>32258.06451612903</v>
      </c>
      <c r="Z16" s="59"/>
      <c r="AA16" s="59" t="s">
        <v>57</v>
      </c>
      <c r="AC16" s="1" t="str">
        <f t="shared" si="7"/>
        <v>Biofire</v>
      </c>
      <c r="AD16" s="5">
        <v>1000</v>
      </c>
      <c r="AE16" s="5">
        <f t="shared" si="8"/>
        <v>1000</v>
      </c>
      <c r="AF16" s="5">
        <f t="shared" si="9"/>
        <v>3225.8064516129029</v>
      </c>
      <c r="AH16" s="1" t="str">
        <f t="shared" si="10"/>
        <v>Biofire</v>
      </c>
      <c r="AI16" s="5">
        <v>7000</v>
      </c>
      <c r="AJ16" s="5">
        <f t="shared" si="11"/>
        <v>7000</v>
      </c>
      <c r="AK16" s="5">
        <f t="shared" si="12"/>
        <v>22580.645161290322</v>
      </c>
      <c r="AM16" s="1" t="str">
        <f t="shared" si="13"/>
        <v>Biofire</v>
      </c>
      <c r="AN16" s="5">
        <v>0</v>
      </c>
      <c r="AO16" s="5">
        <f t="shared" si="14"/>
        <v>0</v>
      </c>
      <c r="AP16" s="5">
        <f t="shared" si="15"/>
        <v>0</v>
      </c>
    </row>
    <row r="17" spans="2:42" ht="15" customHeight="1" x14ac:dyDescent="0.2">
      <c r="B17" s="2" t="s">
        <v>100</v>
      </c>
      <c r="C17" s="55" t="s">
        <v>4</v>
      </c>
      <c r="D17" s="71" t="s">
        <v>98</v>
      </c>
      <c r="E17" s="56">
        <v>12</v>
      </c>
      <c r="F17" s="56">
        <f t="shared" si="21"/>
        <v>12</v>
      </c>
      <c r="G17" s="56">
        <f t="shared" si="21"/>
        <v>12</v>
      </c>
      <c r="H17" s="56">
        <v>40</v>
      </c>
      <c r="I17" s="57">
        <f t="shared" si="18"/>
        <v>1</v>
      </c>
      <c r="J17" s="57">
        <f t="shared" si="19"/>
        <v>3.3333333333333335</v>
      </c>
      <c r="K17" s="58">
        <f t="shared" si="1"/>
        <v>2.9802322387695314E-9</v>
      </c>
      <c r="L17" s="58">
        <f t="shared" si="2"/>
        <v>0.68945067524909986</v>
      </c>
      <c r="M17" s="59"/>
      <c r="N17" s="60">
        <v>17000</v>
      </c>
      <c r="O17" s="58">
        <f t="shared" si="0"/>
        <v>1.4436125122549964E-2</v>
      </c>
      <c r="P17" s="58">
        <f t="shared" si="20"/>
        <v>2.8426049631882656E-2</v>
      </c>
      <c r="Q17" s="59"/>
      <c r="R17" s="61">
        <v>44819</v>
      </c>
      <c r="S17" s="61">
        <f t="shared" si="16"/>
        <v>45291</v>
      </c>
      <c r="T17" s="61">
        <f t="shared" si="3"/>
        <v>44819</v>
      </c>
      <c r="U17" s="61">
        <f t="shared" si="17"/>
        <v>45657</v>
      </c>
      <c r="V17" s="62">
        <f t="shared" si="4"/>
        <v>-17000</v>
      </c>
      <c r="W17" s="62">
        <f t="shared" si="5"/>
        <v>17000</v>
      </c>
      <c r="X17" s="62">
        <f t="shared" si="4"/>
        <v>-17000</v>
      </c>
      <c r="Y17" s="62">
        <f t="shared" si="6"/>
        <v>56666.666666666672</v>
      </c>
      <c r="Z17" s="59"/>
      <c r="AA17" s="59" t="s">
        <v>58</v>
      </c>
      <c r="AC17" s="1" t="str">
        <f t="shared" si="7"/>
        <v>Natrion</v>
      </c>
      <c r="AD17" s="5">
        <v>5000</v>
      </c>
      <c r="AE17" s="5">
        <f t="shared" si="8"/>
        <v>5000</v>
      </c>
      <c r="AF17" s="5">
        <f t="shared" si="9"/>
        <v>16666.666666666668</v>
      </c>
      <c r="AH17" s="1" t="str">
        <f t="shared" si="10"/>
        <v>Natrion</v>
      </c>
      <c r="AI17" s="5">
        <v>5000</v>
      </c>
      <c r="AJ17" s="5">
        <f t="shared" si="11"/>
        <v>5000</v>
      </c>
      <c r="AK17" s="5">
        <f t="shared" si="12"/>
        <v>16666.666666666668</v>
      </c>
      <c r="AM17" s="1" t="str">
        <f t="shared" si="13"/>
        <v>Natrion</v>
      </c>
      <c r="AN17" s="5">
        <v>0</v>
      </c>
      <c r="AO17" s="5">
        <f t="shared" si="14"/>
        <v>0</v>
      </c>
      <c r="AP17" s="5">
        <f t="shared" si="15"/>
        <v>0</v>
      </c>
    </row>
    <row r="18" spans="2:42" ht="15" customHeight="1" x14ac:dyDescent="0.2">
      <c r="B18" s="2" t="s">
        <v>100</v>
      </c>
      <c r="C18" s="55" t="s">
        <v>5</v>
      </c>
      <c r="D18" s="71" t="s">
        <v>98</v>
      </c>
      <c r="E18" s="56">
        <v>40</v>
      </c>
      <c r="F18" s="56">
        <f t="shared" si="21"/>
        <v>40</v>
      </c>
      <c r="G18" s="56">
        <f t="shared" si="21"/>
        <v>40</v>
      </c>
      <c r="H18" s="56">
        <f>F18</f>
        <v>40</v>
      </c>
      <c r="I18" s="57">
        <f t="shared" si="18"/>
        <v>1</v>
      </c>
      <c r="J18" s="57">
        <f t="shared" si="19"/>
        <v>1</v>
      </c>
      <c r="K18" s="58">
        <f t="shared" si="1"/>
        <v>2.9802322387695314E-9</v>
      </c>
      <c r="L18" s="58">
        <f t="shared" si="2"/>
        <v>2.9802322387695314E-9</v>
      </c>
      <c r="M18" s="59"/>
      <c r="N18" s="60">
        <v>10000</v>
      </c>
      <c r="O18" s="58">
        <f t="shared" si="0"/>
        <v>8.4918383073823312E-3</v>
      </c>
      <c r="P18" s="58">
        <f t="shared" si="20"/>
        <v>1.6721205665813327E-2</v>
      </c>
      <c r="Q18" s="59"/>
      <c r="R18" s="61">
        <v>44883</v>
      </c>
      <c r="S18" s="61">
        <f t="shared" si="16"/>
        <v>45291</v>
      </c>
      <c r="T18" s="61">
        <f t="shared" si="3"/>
        <v>44883</v>
      </c>
      <c r="U18" s="61">
        <f t="shared" si="17"/>
        <v>45657</v>
      </c>
      <c r="V18" s="62">
        <f t="shared" si="4"/>
        <v>-10000</v>
      </c>
      <c r="W18" s="62">
        <f t="shared" si="5"/>
        <v>10000</v>
      </c>
      <c r="X18" s="62">
        <f t="shared" si="4"/>
        <v>-10000</v>
      </c>
      <c r="Y18" s="62">
        <f t="shared" si="6"/>
        <v>10000</v>
      </c>
      <c r="Z18" s="59"/>
      <c r="AA18" s="59" t="s">
        <v>61</v>
      </c>
      <c r="AC18" s="1" t="str">
        <f t="shared" si="7"/>
        <v>TrueFoundry</v>
      </c>
      <c r="AD18" s="5">
        <v>3000</v>
      </c>
      <c r="AE18" s="5">
        <f t="shared" si="8"/>
        <v>3000</v>
      </c>
      <c r="AF18" s="5">
        <f t="shared" si="9"/>
        <v>3000</v>
      </c>
      <c r="AH18" s="1" t="str">
        <f t="shared" si="10"/>
        <v>TrueFoundry</v>
      </c>
      <c r="AI18" s="5">
        <v>3000</v>
      </c>
      <c r="AJ18" s="5">
        <f t="shared" si="11"/>
        <v>3000</v>
      </c>
      <c r="AK18" s="5">
        <f t="shared" si="12"/>
        <v>3000</v>
      </c>
      <c r="AM18" s="1" t="str">
        <f t="shared" si="13"/>
        <v>TrueFoundry</v>
      </c>
      <c r="AN18" s="5">
        <v>0</v>
      </c>
      <c r="AO18" s="5">
        <f t="shared" si="14"/>
        <v>0</v>
      </c>
      <c r="AP18" s="5">
        <f t="shared" si="15"/>
        <v>0</v>
      </c>
    </row>
    <row r="19" spans="2:42" ht="15" customHeight="1" x14ac:dyDescent="0.2">
      <c r="B19" s="2" t="s">
        <v>100</v>
      </c>
      <c r="C19" s="55" t="s">
        <v>6</v>
      </c>
      <c r="D19" s="71" t="s">
        <v>98</v>
      </c>
      <c r="E19" s="56">
        <v>30</v>
      </c>
      <c r="F19" s="56">
        <f t="shared" si="21"/>
        <v>30</v>
      </c>
      <c r="G19" s="56">
        <f t="shared" si="21"/>
        <v>30</v>
      </c>
      <c r="H19" s="56">
        <f>F19</f>
        <v>30</v>
      </c>
      <c r="I19" s="57">
        <f t="shared" si="18"/>
        <v>1</v>
      </c>
      <c r="J19" s="57">
        <f t="shared" si="19"/>
        <v>1</v>
      </c>
      <c r="K19" s="58">
        <f t="shared" si="1"/>
        <v>2.9802322387695314E-9</v>
      </c>
      <c r="L19" s="58">
        <f t="shared" si="2"/>
        <v>2.9802322387695314E-9</v>
      </c>
      <c r="M19" s="20"/>
      <c r="N19" s="26">
        <v>26043</v>
      </c>
      <c r="O19" s="63">
        <f t="shared" si="0"/>
        <v>2.2115294503915806E-2</v>
      </c>
      <c r="P19" s="63">
        <f t="shared" si="20"/>
        <v>4.354703591547765E-2</v>
      </c>
      <c r="Q19" s="20"/>
      <c r="R19" s="64">
        <v>44915</v>
      </c>
      <c r="S19" s="64">
        <f t="shared" si="16"/>
        <v>45291</v>
      </c>
      <c r="T19" s="64">
        <f t="shared" si="3"/>
        <v>44915</v>
      </c>
      <c r="U19" s="64">
        <f t="shared" si="17"/>
        <v>45657</v>
      </c>
      <c r="V19" s="65">
        <f t="shared" si="4"/>
        <v>-26043</v>
      </c>
      <c r="W19" s="65">
        <f t="shared" si="5"/>
        <v>26043</v>
      </c>
      <c r="X19" s="65">
        <f t="shared" si="4"/>
        <v>-26043</v>
      </c>
      <c r="Y19" s="65">
        <f t="shared" si="6"/>
        <v>26043</v>
      </c>
      <c r="Z19" s="59"/>
      <c r="AA19" s="59" t="s">
        <v>62</v>
      </c>
      <c r="AC19" s="1" t="str">
        <f t="shared" si="7"/>
        <v>Block Green</v>
      </c>
      <c r="AD19" s="5">
        <v>9000</v>
      </c>
      <c r="AE19" s="5">
        <f t="shared" si="8"/>
        <v>9000</v>
      </c>
      <c r="AF19" s="5">
        <f t="shared" si="9"/>
        <v>9000</v>
      </c>
      <c r="AH19" s="1" t="str">
        <f t="shared" si="10"/>
        <v>Block Green</v>
      </c>
      <c r="AI19" s="5">
        <v>9000</v>
      </c>
      <c r="AJ19" s="5">
        <f t="shared" si="11"/>
        <v>9000</v>
      </c>
      <c r="AK19" s="5">
        <f t="shared" si="12"/>
        <v>9000</v>
      </c>
      <c r="AM19" s="1" t="str">
        <f t="shared" si="13"/>
        <v>Block Green</v>
      </c>
      <c r="AN19" s="5">
        <v>0</v>
      </c>
      <c r="AO19" s="5">
        <f t="shared" si="14"/>
        <v>0</v>
      </c>
      <c r="AP19" s="5">
        <f t="shared" si="15"/>
        <v>0</v>
      </c>
    </row>
    <row r="20" spans="2:42" ht="15" customHeight="1" x14ac:dyDescent="0.2">
      <c r="B20" s="2" t="s">
        <v>100</v>
      </c>
      <c r="C20" s="55" t="s">
        <v>7</v>
      </c>
      <c r="D20" s="71" t="s">
        <v>98</v>
      </c>
      <c r="E20" s="56">
        <v>20</v>
      </c>
      <c r="F20" s="56">
        <v>0</v>
      </c>
      <c r="G20" s="56">
        <v>0</v>
      </c>
      <c r="H20" s="56">
        <f>F20</f>
        <v>0</v>
      </c>
      <c r="I20" s="57">
        <f t="shared" si="18"/>
        <v>0</v>
      </c>
      <c r="J20" s="57">
        <f t="shared" si="19"/>
        <v>0</v>
      </c>
      <c r="K20" s="58">
        <f t="shared" si="1"/>
        <v>-1</v>
      </c>
      <c r="L20" s="58">
        <f t="shared" si="2"/>
        <v>-1</v>
      </c>
      <c r="M20" s="59"/>
      <c r="N20" s="60">
        <v>15000</v>
      </c>
      <c r="O20" s="58">
        <f t="shared" si="0"/>
        <v>1.2737757461073498E-2</v>
      </c>
      <c r="P20" s="58">
        <f t="shared" si="20"/>
        <v>2.5081808498719993E-2</v>
      </c>
      <c r="Q20" s="59"/>
      <c r="R20" s="61">
        <v>44925</v>
      </c>
      <c r="S20" s="61">
        <f t="shared" si="16"/>
        <v>45291</v>
      </c>
      <c r="T20" s="61">
        <f t="shared" si="3"/>
        <v>44925</v>
      </c>
      <c r="U20" s="61">
        <f t="shared" si="17"/>
        <v>45657</v>
      </c>
      <c r="V20" s="62">
        <f t="shared" si="4"/>
        <v>-15000</v>
      </c>
      <c r="W20" s="62">
        <f t="shared" si="5"/>
        <v>0</v>
      </c>
      <c r="X20" s="62">
        <f t="shared" si="4"/>
        <v>-15000</v>
      </c>
      <c r="Y20" s="62">
        <f t="shared" si="6"/>
        <v>0</v>
      </c>
      <c r="Z20" s="59"/>
      <c r="AA20" s="59" t="s">
        <v>63</v>
      </c>
      <c r="AC20" s="1" t="str">
        <f t="shared" si="7"/>
        <v>Veri Labs</v>
      </c>
      <c r="AD20" s="5">
        <v>5000</v>
      </c>
      <c r="AE20" s="5">
        <f t="shared" si="8"/>
        <v>0</v>
      </c>
      <c r="AF20" s="5">
        <f t="shared" si="9"/>
        <v>0</v>
      </c>
      <c r="AH20" s="1" t="str">
        <f t="shared" si="10"/>
        <v>Veri Labs</v>
      </c>
      <c r="AI20" s="5">
        <v>5000</v>
      </c>
      <c r="AJ20" s="5">
        <f t="shared" si="11"/>
        <v>0</v>
      </c>
      <c r="AK20" s="5">
        <f t="shared" si="12"/>
        <v>0</v>
      </c>
      <c r="AM20" s="1" t="str">
        <f t="shared" si="13"/>
        <v>Veri Labs</v>
      </c>
      <c r="AN20" s="5">
        <v>0</v>
      </c>
      <c r="AO20" s="5">
        <f t="shared" si="14"/>
        <v>0</v>
      </c>
      <c r="AP20" s="5">
        <f t="shared" si="15"/>
        <v>0</v>
      </c>
    </row>
    <row r="21" spans="2:42" ht="15" customHeight="1" x14ac:dyDescent="0.2">
      <c r="B21" s="2" t="s">
        <v>100</v>
      </c>
      <c r="C21" s="55" t="s">
        <v>8</v>
      </c>
      <c r="D21" s="71" t="s">
        <v>98</v>
      </c>
      <c r="E21" s="56">
        <v>150</v>
      </c>
      <c r="F21" s="56">
        <f>E21</f>
        <v>150</v>
      </c>
      <c r="G21" s="56">
        <v>0</v>
      </c>
      <c r="H21" s="56">
        <v>0</v>
      </c>
      <c r="I21" s="57">
        <f t="shared" si="18"/>
        <v>1</v>
      </c>
      <c r="J21" s="57">
        <f t="shared" si="19"/>
        <v>0</v>
      </c>
      <c r="K21" s="58">
        <f t="shared" si="1"/>
        <v>2.9802322387695314E-9</v>
      </c>
      <c r="L21" s="58">
        <f t="shared" si="2"/>
        <v>-1</v>
      </c>
      <c r="M21" s="59"/>
      <c r="N21" s="60">
        <v>15000</v>
      </c>
      <c r="O21" s="58">
        <f t="shared" si="0"/>
        <v>1.2737757461073498E-2</v>
      </c>
      <c r="P21" s="58">
        <f t="shared" si="20"/>
        <v>2.5081808498719993E-2</v>
      </c>
      <c r="Q21" s="59"/>
      <c r="R21" s="61">
        <v>44930</v>
      </c>
      <c r="S21" s="61">
        <f t="shared" si="16"/>
        <v>45291</v>
      </c>
      <c r="T21" s="61">
        <f t="shared" si="3"/>
        <v>44930</v>
      </c>
      <c r="U21" s="61">
        <f t="shared" si="17"/>
        <v>45657</v>
      </c>
      <c r="V21" s="62">
        <f t="shared" si="4"/>
        <v>-15000</v>
      </c>
      <c r="W21" s="62">
        <f t="shared" si="5"/>
        <v>15000</v>
      </c>
      <c r="X21" s="62">
        <f t="shared" si="4"/>
        <v>-15000</v>
      </c>
      <c r="Y21" s="62">
        <f t="shared" si="6"/>
        <v>0</v>
      </c>
      <c r="Z21" s="59"/>
      <c r="AA21" s="59" t="s">
        <v>91</v>
      </c>
      <c r="AC21" s="1" t="str">
        <f t="shared" si="7"/>
        <v>Entheos Network</v>
      </c>
      <c r="AD21" s="5">
        <v>2000</v>
      </c>
      <c r="AE21" s="5">
        <f t="shared" si="8"/>
        <v>2000</v>
      </c>
      <c r="AF21" s="5">
        <f t="shared" si="9"/>
        <v>0</v>
      </c>
      <c r="AH21" s="1" t="str">
        <f t="shared" si="10"/>
        <v>Entheos Network</v>
      </c>
      <c r="AI21" s="5">
        <v>3000</v>
      </c>
      <c r="AJ21" s="5">
        <f t="shared" si="11"/>
        <v>3000</v>
      </c>
      <c r="AK21" s="5">
        <f t="shared" si="12"/>
        <v>0</v>
      </c>
      <c r="AM21" s="1" t="str">
        <f t="shared" si="13"/>
        <v>Entheos Network</v>
      </c>
      <c r="AN21" s="5">
        <v>0</v>
      </c>
      <c r="AO21" s="5">
        <f t="shared" si="14"/>
        <v>0</v>
      </c>
      <c r="AP21" s="5">
        <f t="shared" si="15"/>
        <v>0</v>
      </c>
    </row>
    <row r="22" spans="2:42" ht="15" customHeight="1" x14ac:dyDescent="0.2">
      <c r="B22" s="2" t="s">
        <v>100</v>
      </c>
      <c r="C22" s="55" t="s">
        <v>29</v>
      </c>
      <c r="D22" s="71" t="s">
        <v>98</v>
      </c>
      <c r="E22" s="56">
        <v>25</v>
      </c>
      <c r="F22" s="56">
        <f>E22</f>
        <v>25</v>
      </c>
      <c r="G22" s="56">
        <f>F22</f>
        <v>25</v>
      </c>
      <c r="H22" s="56">
        <v>50</v>
      </c>
      <c r="I22" s="57">
        <f t="shared" si="18"/>
        <v>1</v>
      </c>
      <c r="J22" s="57">
        <f t="shared" si="19"/>
        <v>2</v>
      </c>
      <c r="K22" s="58">
        <f t="shared" si="1"/>
        <v>2.9802322387695314E-9</v>
      </c>
      <c r="L22" s="58">
        <f t="shared" si="2"/>
        <v>0.42808763384819037</v>
      </c>
      <c r="M22" s="59"/>
      <c r="N22" s="60">
        <v>80000</v>
      </c>
      <c r="O22" s="58">
        <f t="shared" si="0"/>
        <v>6.793470645905865E-2</v>
      </c>
      <c r="P22" s="58">
        <f t="shared" si="20"/>
        <v>0.13376964532650662</v>
      </c>
      <c r="Q22" s="59"/>
      <c r="R22" s="61">
        <v>44947</v>
      </c>
      <c r="S22" s="61">
        <f t="shared" si="16"/>
        <v>45291</v>
      </c>
      <c r="T22" s="61">
        <f t="shared" si="3"/>
        <v>44947</v>
      </c>
      <c r="U22" s="61">
        <f t="shared" si="17"/>
        <v>45657</v>
      </c>
      <c r="V22" s="62">
        <f t="shared" si="4"/>
        <v>-80000</v>
      </c>
      <c r="W22" s="62">
        <f t="shared" si="5"/>
        <v>80000</v>
      </c>
      <c r="X22" s="62">
        <f t="shared" si="4"/>
        <v>-80000</v>
      </c>
      <c r="Y22" s="62">
        <f t="shared" si="6"/>
        <v>160000</v>
      </c>
      <c r="Z22" s="59"/>
      <c r="AA22" s="59" t="s">
        <v>85</v>
      </c>
      <c r="AC22" s="1" t="str">
        <f t="shared" si="7"/>
        <v>Smerf (Jan-23)</v>
      </c>
      <c r="AD22" s="5">
        <v>13000</v>
      </c>
      <c r="AE22" s="5">
        <f t="shared" si="8"/>
        <v>13000</v>
      </c>
      <c r="AF22" s="5">
        <f t="shared" si="9"/>
        <v>26000</v>
      </c>
      <c r="AH22" s="1" t="str">
        <f t="shared" si="10"/>
        <v>Smerf (Jan-23)</v>
      </c>
      <c r="AI22" s="5">
        <v>50000</v>
      </c>
      <c r="AJ22" s="5">
        <f t="shared" si="11"/>
        <v>50000</v>
      </c>
      <c r="AK22" s="5">
        <f t="shared" si="12"/>
        <v>100000</v>
      </c>
      <c r="AM22" s="1" t="str">
        <f t="shared" si="13"/>
        <v>Smerf (Jan-23)</v>
      </c>
      <c r="AN22" s="5">
        <v>0</v>
      </c>
      <c r="AO22" s="5">
        <f t="shared" si="14"/>
        <v>0</v>
      </c>
      <c r="AP22" s="5">
        <f t="shared" si="15"/>
        <v>0</v>
      </c>
    </row>
    <row r="23" spans="2:42" ht="15" customHeight="1" x14ac:dyDescent="0.2">
      <c r="B23" s="2" t="s">
        <v>100</v>
      </c>
      <c r="C23" s="55" t="s">
        <v>9</v>
      </c>
      <c r="D23" s="71" t="s">
        <v>98</v>
      </c>
      <c r="E23" s="56">
        <v>120</v>
      </c>
      <c r="F23" s="56">
        <f>E23</f>
        <v>120</v>
      </c>
      <c r="G23" s="56">
        <f>F23</f>
        <v>120</v>
      </c>
      <c r="H23" s="56">
        <v>250</v>
      </c>
      <c r="I23" s="57">
        <f t="shared" si="18"/>
        <v>1</v>
      </c>
      <c r="J23" s="57">
        <f t="shared" si="19"/>
        <v>2.0833333333333335</v>
      </c>
      <c r="K23" s="58">
        <f t="shared" si="1"/>
        <v>2.9802322387695314E-9</v>
      </c>
      <c r="L23" s="58">
        <f t="shared" si="2"/>
        <v>0.47193561196327216</v>
      </c>
      <c r="M23" s="59"/>
      <c r="N23" s="60">
        <v>50000</v>
      </c>
      <c r="O23" s="58">
        <f t="shared" si="0"/>
        <v>4.2459191536911661E-2</v>
      </c>
      <c r="P23" s="58">
        <f t="shared" si="20"/>
        <v>8.3606028329066634E-2</v>
      </c>
      <c r="Q23" s="59"/>
      <c r="R23" s="61">
        <v>44964</v>
      </c>
      <c r="S23" s="61">
        <f t="shared" si="16"/>
        <v>45291</v>
      </c>
      <c r="T23" s="61">
        <f t="shared" si="3"/>
        <v>44964</v>
      </c>
      <c r="U23" s="61">
        <f t="shared" si="17"/>
        <v>45657</v>
      </c>
      <c r="V23" s="62">
        <f t="shared" si="4"/>
        <v>-50000</v>
      </c>
      <c r="W23" s="62">
        <f t="shared" si="5"/>
        <v>50000</v>
      </c>
      <c r="X23" s="62">
        <f t="shared" si="4"/>
        <v>-50000</v>
      </c>
      <c r="Y23" s="62">
        <f t="shared" si="6"/>
        <v>104166.66666666667</v>
      </c>
      <c r="Z23" s="59"/>
      <c r="AA23" s="59" t="s">
        <v>84</v>
      </c>
      <c r="AC23" s="1" t="str">
        <f t="shared" si="7"/>
        <v>Eve Nexus</v>
      </c>
      <c r="AD23" s="5">
        <v>5000</v>
      </c>
      <c r="AE23" s="5">
        <f t="shared" si="8"/>
        <v>5000</v>
      </c>
      <c r="AF23" s="5">
        <f t="shared" si="9"/>
        <v>10416.666666666668</v>
      </c>
      <c r="AH23" s="1" t="str">
        <f t="shared" si="10"/>
        <v>Eve Nexus</v>
      </c>
      <c r="AI23" s="5">
        <v>5000</v>
      </c>
      <c r="AJ23" s="5">
        <f t="shared" si="11"/>
        <v>5000</v>
      </c>
      <c r="AK23" s="5">
        <f t="shared" si="12"/>
        <v>10416.666666666668</v>
      </c>
      <c r="AM23" s="1" t="str">
        <f t="shared" si="13"/>
        <v>Eve Nexus</v>
      </c>
      <c r="AN23" s="5">
        <v>25000</v>
      </c>
      <c r="AO23" s="5">
        <f t="shared" si="14"/>
        <v>25000</v>
      </c>
      <c r="AP23" s="5">
        <f t="shared" si="15"/>
        <v>52083.333333333336</v>
      </c>
    </row>
    <row r="24" spans="2:42" ht="15" customHeight="1" x14ac:dyDescent="0.2">
      <c r="B24" s="2" t="s">
        <v>100</v>
      </c>
      <c r="C24" s="55" t="s">
        <v>10</v>
      </c>
      <c r="D24" s="71" t="s">
        <v>98</v>
      </c>
      <c r="E24" s="56">
        <v>56</v>
      </c>
      <c r="F24" s="56">
        <f>E24</f>
        <v>56</v>
      </c>
      <c r="G24" s="56">
        <f>F24</f>
        <v>56</v>
      </c>
      <c r="H24" s="56">
        <f>F24</f>
        <v>56</v>
      </c>
      <c r="I24" s="57">
        <f t="shared" si="18"/>
        <v>1</v>
      </c>
      <c r="J24" s="57">
        <f t="shared" si="19"/>
        <v>1</v>
      </c>
      <c r="K24" s="58">
        <f t="shared" si="1"/>
        <v>2.9802322387695314E-9</v>
      </c>
      <c r="L24" s="58">
        <f t="shared" si="2"/>
        <v>2.9802322387695314E-9</v>
      </c>
      <c r="M24" s="20"/>
      <c r="N24" s="26">
        <v>10000</v>
      </c>
      <c r="O24" s="63">
        <f t="shared" si="0"/>
        <v>8.4918383073823312E-3</v>
      </c>
      <c r="P24" s="63">
        <f t="shared" si="20"/>
        <v>1.6721205665813327E-2</v>
      </c>
      <c r="Q24" s="20"/>
      <c r="R24" s="64">
        <v>45001</v>
      </c>
      <c r="S24" s="64">
        <f t="shared" si="16"/>
        <v>45291</v>
      </c>
      <c r="T24" s="64">
        <f t="shared" si="3"/>
        <v>45001</v>
      </c>
      <c r="U24" s="64">
        <f t="shared" si="17"/>
        <v>45657</v>
      </c>
      <c r="V24" s="65">
        <f t="shared" si="4"/>
        <v>-10000</v>
      </c>
      <c r="W24" s="65">
        <f t="shared" si="5"/>
        <v>10000</v>
      </c>
      <c r="X24" s="65">
        <f t="shared" si="4"/>
        <v>-10000</v>
      </c>
      <c r="Y24" s="65">
        <f t="shared" si="6"/>
        <v>10000</v>
      </c>
      <c r="Z24" s="59"/>
      <c r="AA24" s="59" t="s">
        <v>92</v>
      </c>
      <c r="AC24" s="1" t="str">
        <f t="shared" si="7"/>
        <v>Ather Digital</v>
      </c>
      <c r="AD24" s="5">
        <v>3000</v>
      </c>
      <c r="AE24" s="5">
        <f t="shared" si="8"/>
        <v>3000</v>
      </c>
      <c r="AF24" s="5">
        <f t="shared" si="9"/>
        <v>3000</v>
      </c>
      <c r="AH24" s="1" t="str">
        <f t="shared" si="10"/>
        <v>Ather Digital</v>
      </c>
      <c r="AI24" s="5">
        <v>3000</v>
      </c>
      <c r="AJ24" s="5">
        <f t="shared" si="11"/>
        <v>3000</v>
      </c>
      <c r="AK24" s="5">
        <f t="shared" si="12"/>
        <v>3000</v>
      </c>
      <c r="AM24" s="1" t="str">
        <f t="shared" si="13"/>
        <v>Ather Digital</v>
      </c>
      <c r="AN24" s="5">
        <v>0</v>
      </c>
      <c r="AO24" s="5">
        <f t="shared" si="14"/>
        <v>0</v>
      </c>
      <c r="AP24" s="5">
        <f t="shared" si="15"/>
        <v>0</v>
      </c>
    </row>
    <row r="25" spans="2:42" ht="15" customHeight="1" x14ac:dyDescent="0.2">
      <c r="B25" s="2" t="s">
        <v>100</v>
      </c>
      <c r="C25" s="55" t="s">
        <v>94</v>
      </c>
      <c r="D25" s="71" t="s">
        <v>98</v>
      </c>
      <c r="E25" s="56">
        <v>3.3</v>
      </c>
      <c r="F25" s="56">
        <v>7.5</v>
      </c>
      <c r="G25" s="56">
        <v>7.5</v>
      </c>
      <c r="H25" s="56">
        <v>20</v>
      </c>
      <c r="I25" s="57">
        <f t="shared" si="18"/>
        <v>2.2727272727272729</v>
      </c>
      <c r="J25" s="57">
        <f t="shared" si="19"/>
        <v>6.0606060606060606</v>
      </c>
      <c r="K25" s="58">
        <f t="shared" si="1"/>
        <v>2.021485829353332</v>
      </c>
      <c r="L25" s="58">
        <f t="shared" si="2"/>
        <v>1.8078924775123593</v>
      </c>
      <c r="M25" s="59"/>
      <c r="N25" s="60">
        <v>15000</v>
      </c>
      <c r="O25" s="58">
        <f t="shared" si="0"/>
        <v>1.2737757461073498E-2</v>
      </c>
      <c r="P25" s="58">
        <f t="shared" si="20"/>
        <v>2.5081808498719993E-2</v>
      </c>
      <c r="Q25" s="59"/>
      <c r="R25" s="61">
        <v>45020</v>
      </c>
      <c r="S25" s="61">
        <f t="shared" si="16"/>
        <v>45291</v>
      </c>
      <c r="T25" s="61">
        <f t="shared" si="3"/>
        <v>45020</v>
      </c>
      <c r="U25" s="61">
        <f t="shared" si="17"/>
        <v>45657</v>
      </c>
      <c r="V25" s="62">
        <f t="shared" si="4"/>
        <v>-15000</v>
      </c>
      <c r="W25" s="62">
        <f t="shared" si="5"/>
        <v>34090.909090909096</v>
      </c>
      <c r="X25" s="62">
        <f t="shared" si="4"/>
        <v>-15000</v>
      </c>
      <c r="Y25" s="62">
        <f t="shared" si="6"/>
        <v>90909.090909090912</v>
      </c>
      <c r="Z25" s="59"/>
      <c r="AA25" s="59" t="s">
        <v>64</v>
      </c>
      <c r="AC25" s="1" t="str">
        <f t="shared" si="7"/>
        <v>Scout AI (Pre-Seed 1)</v>
      </c>
      <c r="AD25" s="5">
        <v>3000</v>
      </c>
      <c r="AE25" s="5">
        <f t="shared" si="8"/>
        <v>6818.1818181818189</v>
      </c>
      <c r="AF25" s="5">
        <f t="shared" si="9"/>
        <v>18181.81818181818</v>
      </c>
      <c r="AH25" s="1" t="str">
        <f t="shared" si="10"/>
        <v>Scout AI (Pre-Seed 1)</v>
      </c>
      <c r="AI25" s="5">
        <v>3000</v>
      </c>
      <c r="AJ25" s="5">
        <f t="shared" si="11"/>
        <v>6818.1818181818189</v>
      </c>
      <c r="AK25" s="5">
        <f t="shared" si="12"/>
        <v>18181.81818181818</v>
      </c>
      <c r="AM25" s="1" t="str">
        <f t="shared" si="13"/>
        <v>Scout AI (Pre-Seed 1)</v>
      </c>
      <c r="AN25" s="5">
        <v>0</v>
      </c>
      <c r="AO25" s="5">
        <f t="shared" si="14"/>
        <v>0</v>
      </c>
      <c r="AP25" s="5">
        <f t="shared" si="15"/>
        <v>0</v>
      </c>
    </row>
    <row r="26" spans="2:42" ht="15" customHeight="1" x14ac:dyDescent="0.2">
      <c r="B26" s="2" t="s">
        <v>100</v>
      </c>
      <c r="C26" s="55" t="s">
        <v>11</v>
      </c>
      <c r="D26" s="71" t="s">
        <v>98</v>
      </c>
      <c r="E26" s="56">
        <v>420</v>
      </c>
      <c r="F26" s="56">
        <f>E26</f>
        <v>420</v>
      </c>
      <c r="G26" s="56">
        <v>2600</v>
      </c>
      <c r="H26" s="56">
        <v>2600</v>
      </c>
      <c r="I26" s="57">
        <f t="shared" si="18"/>
        <v>1</v>
      </c>
      <c r="J26" s="57">
        <f t="shared" si="19"/>
        <v>6.1904761904761907</v>
      </c>
      <c r="K26" s="58">
        <f t="shared" si="1"/>
        <v>2.9802322387695314E-9</v>
      </c>
      <c r="L26" s="58">
        <f t="shared" si="2"/>
        <v>1.9556315660476682</v>
      </c>
      <c r="M26" s="59"/>
      <c r="N26" s="60">
        <v>40000</v>
      </c>
      <c r="O26" s="58">
        <f t="shared" si="0"/>
        <v>3.3967353229529325E-2</v>
      </c>
      <c r="P26" s="58">
        <f t="shared" si="20"/>
        <v>6.688482266325331E-2</v>
      </c>
      <c r="Q26" s="59"/>
      <c r="R26" s="61">
        <v>45043</v>
      </c>
      <c r="S26" s="61">
        <f t="shared" si="16"/>
        <v>45291</v>
      </c>
      <c r="T26" s="61">
        <f t="shared" si="3"/>
        <v>45043</v>
      </c>
      <c r="U26" s="61">
        <f t="shared" si="17"/>
        <v>45657</v>
      </c>
      <c r="V26" s="62">
        <f t="shared" si="4"/>
        <v>-40000</v>
      </c>
      <c r="W26" s="62">
        <f t="shared" si="5"/>
        <v>40000</v>
      </c>
      <c r="X26" s="62">
        <f t="shared" si="4"/>
        <v>-40000</v>
      </c>
      <c r="Y26" s="62">
        <f t="shared" si="6"/>
        <v>247619.04761904763</v>
      </c>
      <c r="Z26" s="59"/>
      <c r="AA26" s="59" t="s">
        <v>65</v>
      </c>
      <c r="AC26" s="1" t="str">
        <f t="shared" si="7"/>
        <v>Figure AI</v>
      </c>
      <c r="AD26" s="5">
        <v>4000</v>
      </c>
      <c r="AE26" s="5">
        <f t="shared" si="8"/>
        <v>4000</v>
      </c>
      <c r="AF26" s="5">
        <f t="shared" si="9"/>
        <v>24761.904761904763</v>
      </c>
      <c r="AH26" s="1" t="str">
        <f t="shared" si="10"/>
        <v>Figure AI</v>
      </c>
      <c r="AI26" s="5">
        <v>4000</v>
      </c>
      <c r="AJ26" s="5">
        <f t="shared" si="11"/>
        <v>4000</v>
      </c>
      <c r="AK26" s="5">
        <f t="shared" si="12"/>
        <v>24761.904761904763</v>
      </c>
      <c r="AM26" s="1" t="str">
        <f t="shared" si="13"/>
        <v>Figure AI</v>
      </c>
      <c r="AN26" s="5">
        <v>25000</v>
      </c>
      <c r="AO26" s="5">
        <f t="shared" si="14"/>
        <v>25000</v>
      </c>
      <c r="AP26" s="5">
        <f t="shared" si="15"/>
        <v>154761.90476190476</v>
      </c>
    </row>
    <row r="27" spans="2:42" ht="15" customHeight="1" x14ac:dyDescent="0.2">
      <c r="B27" s="2" t="s">
        <v>100</v>
      </c>
      <c r="C27" s="55" t="s">
        <v>12</v>
      </c>
      <c r="D27" s="71" t="s">
        <v>98</v>
      </c>
      <c r="E27" s="56">
        <v>55</v>
      </c>
      <c r="F27" s="56">
        <v>55</v>
      </c>
      <c r="G27" s="56">
        <v>55</v>
      </c>
      <c r="H27" s="56">
        <f>F27</f>
        <v>55</v>
      </c>
      <c r="I27" s="57">
        <f t="shared" si="18"/>
        <v>1</v>
      </c>
      <c r="J27" s="57">
        <f t="shared" si="19"/>
        <v>1</v>
      </c>
      <c r="K27" s="58">
        <f t="shared" si="1"/>
        <v>2.9802322387695314E-9</v>
      </c>
      <c r="L27" s="58">
        <f t="shared" si="2"/>
        <v>2.9802322387695314E-9</v>
      </c>
      <c r="M27" s="59"/>
      <c r="N27" s="60">
        <v>14000</v>
      </c>
      <c r="O27" s="58">
        <f t="shared" si="0"/>
        <v>1.1888573630335264E-2</v>
      </c>
      <c r="P27" s="58">
        <f t="shared" si="20"/>
        <v>2.340968793213866E-2</v>
      </c>
      <c r="Q27" s="59"/>
      <c r="R27" s="61">
        <v>45089</v>
      </c>
      <c r="S27" s="61">
        <f t="shared" si="16"/>
        <v>45291</v>
      </c>
      <c r="T27" s="61">
        <f t="shared" si="3"/>
        <v>45089</v>
      </c>
      <c r="U27" s="61">
        <f t="shared" si="17"/>
        <v>45657</v>
      </c>
      <c r="V27" s="62">
        <f t="shared" si="4"/>
        <v>-14000</v>
      </c>
      <c r="W27" s="62">
        <f t="shared" si="5"/>
        <v>14000</v>
      </c>
      <c r="X27" s="62">
        <f t="shared" si="4"/>
        <v>-14000</v>
      </c>
      <c r="Y27" s="62">
        <f t="shared" si="6"/>
        <v>14000</v>
      </c>
      <c r="Z27" s="59"/>
      <c r="AA27" s="59" t="s">
        <v>66</v>
      </c>
      <c r="AC27" s="1" t="str">
        <f t="shared" si="7"/>
        <v>Turion Space</v>
      </c>
      <c r="AD27" s="5">
        <v>5000</v>
      </c>
      <c r="AE27" s="5">
        <f t="shared" si="8"/>
        <v>5000</v>
      </c>
      <c r="AF27" s="5">
        <f t="shared" si="9"/>
        <v>5000</v>
      </c>
      <c r="AH27" s="1" t="str">
        <f t="shared" si="10"/>
        <v>Turion Space</v>
      </c>
      <c r="AI27" s="5">
        <v>1500</v>
      </c>
      <c r="AJ27" s="5">
        <f t="shared" si="11"/>
        <v>1500</v>
      </c>
      <c r="AK27" s="5">
        <f t="shared" si="12"/>
        <v>1500</v>
      </c>
      <c r="AM27" s="1" t="str">
        <f t="shared" si="13"/>
        <v>Turion Space</v>
      </c>
      <c r="AN27" s="5">
        <v>5000</v>
      </c>
      <c r="AO27" s="5">
        <f t="shared" si="14"/>
        <v>5000</v>
      </c>
      <c r="AP27" s="5">
        <f t="shared" si="15"/>
        <v>5000</v>
      </c>
    </row>
    <row r="28" spans="2:42" ht="15" customHeight="1" x14ac:dyDescent="0.2">
      <c r="B28" s="2" t="s">
        <v>100</v>
      </c>
      <c r="C28" s="55" t="s">
        <v>13</v>
      </c>
      <c r="D28" s="71" t="s">
        <v>98</v>
      </c>
      <c r="E28" s="56">
        <v>18</v>
      </c>
      <c r="F28" s="56">
        <f>E28</f>
        <v>18</v>
      </c>
      <c r="G28" s="56">
        <f>F28</f>
        <v>18</v>
      </c>
      <c r="H28" s="56">
        <f>F28</f>
        <v>18</v>
      </c>
      <c r="I28" s="57">
        <f t="shared" si="18"/>
        <v>1</v>
      </c>
      <c r="J28" s="57">
        <f t="shared" si="19"/>
        <v>1</v>
      </c>
      <c r="K28" s="58">
        <f t="shared" si="1"/>
        <v>2.9802322387695314E-9</v>
      </c>
      <c r="L28" s="58">
        <f t="shared" si="2"/>
        <v>2.9802322387695314E-9</v>
      </c>
      <c r="M28" s="59"/>
      <c r="N28" s="60">
        <v>15000</v>
      </c>
      <c r="O28" s="58">
        <f t="shared" si="0"/>
        <v>1.2737757461073498E-2</v>
      </c>
      <c r="P28" s="58">
        <f t="shared" si="20"/>
        <v>2.5081808498719993E-2</v>
      </c>
      <c r="Q28" s="59"/>
      <c r="R28" s="61">
        <v>45091</v>
      </c>
      <c r="S28" s="61">
        <f t="shared" si="16"/>
        <v>45291</v>
      </c>
      <c r="T28" s="61">
        <f t="shared" si="3"/>
        <v>45091</v>
      </c>
      <c r="U28" s="61">
        <f t="shared" si="17"/>
        <v>45657</v>
      </c>
      <c r="V28" s="62">
        <f t="shared" si="4"/>
        <v>-15000</v>
      </c>
      <c r="W28" s="62">
        <f t="shared" si="5"/>
        <v>15000</v>
      </c>
      <c r="X28" s="62">
        <f t="shared" si="4"/>
        <v>-15000</v>
      </c>
      <c r="Y28" s="62">
        <f t="shared" si="6"/>
        <v>15000</v>
      </c>
      <c r="Z28" s="59"/>
      <c r="AA28" s="59" t="s">
        <v>67</v>
      </c>
      <c r="AC28" s="1" t="str">
        <f t="shared" si="7"/>
        <v>RWA.xyz</v>
      </c>
      <c r="AD28" s="5">
        <v>5000</v>
      </c>
      <c r="AE28" s="5">
        <f t="shared" si="8"/>
        <v>5000</v>
      </c>
      <c r="AF28" s="5">
        <f t="shared" si="9"/>
        <v>5000</v>
      </c>
      <c r="AH28" s="1" t="str">
        <f t="shared" si="10"/>
        <v>RWA.xyz</v>
      </c>
      <c r="AI28" s="5">
        <v>1500</v>
      </c>
      <c r="AJ28" s="5">
        <f t="shared" si="11"/>
        <v>1500</v>
      </c>
      <c r="AK28" s="5">
        <f t="shared" si="12"/>
        <v>1500</v>
      </c>
      <c r="AM28" s="1" t="str">
        <f t="shared" si="13"/>
        <v>RWA.xyz</v>
      </c>
      <c r="AN28" s="5">
        <v>5000</v>
      </c>
      <c r="AO28" s="5">
        <f t="shared" si="14"/>
        <v>5000</v>
      </c>
      <c r="AP28" s="5">
        <f t="shared" si="15"/>
        <v>5000</v>
      </c>
    </row>
    <row r="29" spans="2:42" ht="15" customHeight="1" x14ac:dyDescent="0.2">
      <c r="B29" s="2" t="s">
        <v>100</v>
      </c>
      <c r="C29" s="55" t="s">
        <v>14</v>
      </c>
      <c r="D29" s="71" t="s">
        <v>98</v>
      </c>
      <c r="E29" s="56">
        <f>120/1.03</f>
        <v>116.50485436893203</v>
      </c>
      <c r="F29" s="56">
        <v>120</v>
      </c>
      <c r="G29" s="56">
        <v>120</v>
      </c>
      <c r="H29" s="56">
        <f>F29</f>
        <v>120</v>
      </c>
      <c r="I29" s="57">
        <f t="shared" si="18"/>
        <v>1.03</v>
      </c>
      <c r="J29" s="57">
        <f t="shared" si="19"/>
        <v>1.03</v>
      </c>
      <c r="K29" s="58">
        <f t="shared" si="1"/>
        <v>5.7801309227943423E-2</v>
      </c>
      <c r="L29" s="58">
        <f t="shared" si="2"/>
        <v>1.9523194432258612E-2</v>
      </c>
      <c r="M29" s="59"/>
      <c r="N29" s="60">
        <v>21000</v>
      </c>
      <c r="O29" s="58">
        <f t="shared" si="0"/>
        <v>1.7832860445502897E-2</v>
      </c>
      <c r="P29" s="58">
        <f t="shared" si="20"/>
        <v>3.5114531898207992E-2</v>
      </c>
      <c r="Q29" s="59"/>
      <c r="R29" s="61">
        <v>45099</v>
      </c>
      <c r="S29" s="61">
        <f t="shared" si="16"/>
        <v>45291</v>
      </c>
      <c r="T29" s="61">
        <f t="shared" si="3"/>
        <v>45099</v>
      </c>
      <c r="U29" s="61">
        <f t="shared" si="17"/>
        <v>45657</v>
      </c>
      <c r="V29" s="62">
        <f t="shared" si="4"/>
        <v>-21000</v>
      </c>
      <c r="W29" s="62">
        <f t="shared" si="5"/>
        <v>21630</v>
      </c>
      <c r="X29" s="62">
        <f t="shared" si="4"/>
        <v>-21000</v>
      </c>
      <c r="Y29" s="62">
        <f t="shared" si="6"/>
        <v>21630</v>
      </c>
      <c r="Z29" s="59"/>
      <c r="AA29" s="59" t="s">
        <v>72</v>
      </c>
      <c r="AC29" s="1" t="str">
        <f t="shared" si="7"/>
        <v>Princeton NuEnergy</v>
      </c>
      <c r="AD29" s="5">
        <v>10000</v>
      </c>
      <c r="AE29" s="5">
        <f t="shared" si="8"/>
        <v>10300</v>
      </c>
      <c r="AF29" s="5">
        <f t="shared" si="9"/>
        <v>10300</v>
      </c>
      <c r="AH29" s="1" t="str">
        <f t="shared" si="10"/>
        <v>Princeton NuEnergy</v>
      </c>
      <c r="AI29" s="5">
        <v>1500</v>
      </c>
      <c r="AJ29" s="5">
        <f t="shared" si="11"/>
        <v>1545</v>
      </c>
      <c r="AK29" s="5">
        <f t="shared" si="12"/>
        <v>1545</v>
      </c>
      <c r="AM29" s="1" t="str">
        <f t="shared" si="13"/>
        <v>Princeton NuEnergy</v>
      </c>
      <c r="AN29" s="5">
        <v>2500</v>
      </c>
      <c r="AO29" s="5">
        <f t="shared" si="14"/>
        <v>2575</v>
      </c>
      <c r="AP29" s="5">
        <f t="shared" si="15"/>
        <v>2575</v>
      </c>
    </row>
    <row r="30" spans="2:42" ht="15" customHeight="1" x14ac:dyDescent="0.2">
      <c r="B30" s="2" t="s">
        <v>100</v>
      </c>
      <c r="C30" s="55" t="s">
        <v>31</v>
      </c>
      <c r="D30" s="71" t="s">
        <v>98</v>
      </c>
      <c r="E30" s="56">
        <v>65</v>
      </c>
      <c r="F30" s="56">
        <f>E30</f>
        <v>65</v>
      </c>
      <c r="G30" s="56">
        <f>F30</f>
        <v>65</v>
      </c>
      <c r="H30" s="56">
        <v>80</v>
      </c>
      <c r="I30" s="57">
        <f t="shared" si="18"/>
        <v>1</v>
      </c>
      <c r="J30" s="57">
        <f t="shared" si="19"/>
        <v>1.2307692307692308</v>
      </c>
      <c r="K30" s="58">
        <f t="shared" si="1"/>
        <v>2.9802322387695314E-9</v>
      </c>
      <c r="L30" s="58">
        <f t="shared" si="2"/>
        <v>0.14745557904243478</v>
      </c>
      <c r="M30" s="59"/>
      <c r="N30" s="60">
        <v>41000</v>
      </c>
      <c r="O30" s="58">
        <f t="shared" si="0"/>
        <v>3.4816537060267556E-2</v>
      </c>
      <c r="P30" s="58">
        <f t="shared" si="20"/>
        <v>6.8556943229834647E-2</v>
      </c>
      <c r="Q30" s="59"/>
      <c r="R30" s="61">
        <v>45106</v>
      </c>
      <c r="S30" s="61">
        <f t="shared" si="16"/>
        <v>45291</v>
      </c>
      <c r="T30" s="61">
        <f t="shared" si="3"/>
        <v>45106</v>
      </c>
      <c r="U30" s="61">
        <f t="shared" si="17"/>
        <v>45657</v>
      </c>
      <c r="V30" s="62">
        <f t="shared" si="4"/>
        <v>-41000</v>
      </c>
      <c r="W30" s="62">
        <f t="shared" si="5"/>
        <v>41000</v>
      </c>
      <c r="X30" s="62">
        <f t="shared" si="4"/>
        <v>-41000</v>
      </c>
      <c r="Y30" s="62">
        <f t="shared" si="6"/>
        <v>50461.538461538461</v>
      </c>
      <c r="Z30" s="59"/>
      <c r="AA30" s="59" t="s">
        <v>68</v>
      </c>
      <c r="AC30" s="1" t="str">
        <f t="shared" si="7"/>
        <v>Emerge (Jun-23)</v>
      </c>
      <c r="AD30" s="5">
        <v>10000</v>
      </c>
      <c r="AE30" s="5">
        <f t="shared" si="8"/>
        <v>10000</v>
      </c>
      <c r="AF30" s="5">
        <f t="shared" si="9"/>
        <v>12307.692307692309</v>
      </c>
      <c r="AH30" s="1" t="str">
        <f t="shared" si="10"/>
        <v>Emerge (Jun-23)</v>
      </c>
      <c r="AI30" s="5">
        <v>8000</v>
      </c>
      <c r="AJ30" s="5">
        <f t="shared" si="11"/>
        <v>8000</v>
      </c>
      <c r="AK30" s="5">
        <f t="shared" si="12"/>
        <v>9846.1538461538476</v>
      </c>
      <c r="AM30" s="1" t="str">
        <f t="shared" si="13"/>
        <v>Emerge (Jun-23)</v>
      </c>
      <c r="AN30" s="5">
        <v>10000</v>
      </c>
      <c r="AO30" s="5">
        <f t="shared" si="14"/>
        <v>10000</v>
      </c>
      <c r="AP30" s="5">
        <f t="shared" si="15"/>
        <v>12307.692307692309</v>
      </c>
    </row>
    <row r="31" spans="2:42" ht="15" customHeight="1" x14ac:dyDescent="0.2">
      <c r="B31" s="2" t="s">
        <v>100</v>
      </c>
      <c r="C31" s="55" t="s">
        <v>24</v>
      </c>
      <c r="D31" s="71" t="s">
        <v>98</v>
      </c>
      <c r="E31" s="56">
        <v>19</v>
      </c>
      <c r="F31" s="56">
        <v>19</v>
      </c>
      <c r="G31" s="56">
        <v>19</v>
      </c>
      <c r="H31" s="56">
        <f>H12</f>
        <v>40</v>
      </c>
      <c r="I31" s="57">
        <f t="shared" si="18"/>
        <v>1</v>
      </c>
      <c r="J31" s="57">
        <f t="shared" si="19"/>
        <v>2.1052631578947367</v>
      </c>
      <c r="K31" s="58">
        <f t="shared" si="1"/>
        <v>2.9802322387695314E-9</v>
      </c>
      <c r="L31" s="58">
        <f t="shared" si="2"/>
        <v>0.64336718916893021</v>
      </c>
      <c r="M31" s="59"/>
      <c r="N31" s="60">
        <v>12000</v>
      </c>
      <c r="O31" s="58">
        <f t="shared" si="0"/>
        <v>1.0190205968858798E-2</v>
      </c>
      <c r="P31" s="58">
        <f t="shared" si="20"/>
        <v>2.0065446798975994E-2</v>
      </c>
      <c r="Q31" s="59"/>
      <c r="R31" s="61">
        <v>45110</v>
      </c>
      <c r="S31" s="61">
        <f t="shared" si="16"/>
        <v>45291</v>
      </c>
      <c r="T31" s="61">
        <f t="shared" si="3"/>
        <v>45110</v>
      </c>
      <c r="U31" s="61">
        <f t="shared" si="17"/>
        <v>45657</v>
      </c>
      <c r="V31" s="62">
        <f t="shared" si="4"/>
        <v>-12000</v>
      </c>
      <c r="W31" s="62">
        <f t="shared" si="5"/>
        <v>12000</v>
      </c>
      <c r="X31" s="62">
        <f t="shared" si="4"/>
        <v>-12000</v>
      </c>
      <c r="Y31" s="62">
        <f t="shared" si="6"/>
        <v>25263.15789473684</v>
      </c>
      <c r="Z31" s="59"/>
      <c r="AA31" s="59" t="s">
        <v>54</v>
      </c>
      <c r="AC31" s="1" t="str">
        <f t="shared" si="7"/>
        <v>Piersica (Jul-23)</v>
      </c>
      <c r="AD31" s="5">
        <v>2500</v>
      </c>
      <c r="AE31" s="5">
        <f t="shared" si="8"/>
        <v>2500</v>
      </c>
      <c r="AF31" s="5">
        <f t="shared" si="9"/>
        <v>5263.1578947368416</v>
      </c>
      <c r="AH31" s="1" t="str">
        <f t="shared" si="10"/>
        <v>Piersica (Jul-23)</v>
      </c>
      <c r="AI31" s="5">
        <v>1500</v>
      </c>
      <c r="AJ31" s="5">
        <f t="shared" si="11"/>
        <v>1500</v>
      </c>
      <c r="AK31" s="5">
        <f t="shared" si="12"/>
        <v>3157.894736842105</v>
      </c>
      <c r="AM31" s="1" t="str">
        <f t="shared" si="13"/>
        <v>Piersica (Jul-23)</v>
      </c>
      <c r="AN31" s="5">
        <v>2500</v>
      </c>
      <c r="AO31" s="5">
        <f t="shared" si="14"/>
        <v>2500</v>
      </c>
      <c r="AP31" s="5">
        <f t="shared" si="15"/>
        <v>5263.1578947368416</v>
      </c>
    </row>
    <row r="32" spans="2:42" ht="15" customHeight="1" x14ac:dyDescent="0.2">
      <c r="B32" s="2" t="s">
        <v>100</v>
      </c>
      <c r="C32" s="55" t="s">
        <v>15</v>
      </c>
      <c r="D32" s="71" t="s">
        <v>98</v>
      </c>
      <c r="E32" s="56">
        <v>12</v>
      </c>
      <c r="F32" s="56">
        <f>E32</f>
        <v>12</v>
      </c>
      <c r="G32" s="56">
        <f>F32</f>
        <v>12</v>
      </c>
      <c r="H32" s="56">
        <v>40</v>
      </c>
      <c r="I32" s="57">
        <f t="shared" si="18"/>
        <v>1</v>
      </c>
      <c r="J32" s="57">
        <f t="shared" si="19"/>
        <v>3.3333333333333335</v>
      </c>
      <c r="K32" s="58">
        <f t="shared" si="1"/>
        <v>2.9802322387695314E-9</v>
      </c>
      <c r="L32" s="58">
        <f t="shared" si="2"/>
        <v>1.3206756711006165</v>
      </c>
      <c r="M32" s="59"/>
      <c r="N32" s="60">
        <v>50000</v>
      </c>
      <c r="O32" s="58">
        <f t="shared" si="0"/>
        <v>4.2459191536911661E-2</v>
      </c>
      <c r="P32" s="58">
        <f t="shared" si="20"/>
        <v>8.3606028329066634E-2</v>
      </c>
      <c r="Q32" s="59"/>
      <c r="R32" s="61">
        <v>45135</v>
      </c>
      <c r="S32" s="61">
        <f t="shared" si="16"/>
        <v>45291</v>
      </c>
      <c r="T32" s="61">
        <f t="shared" si="3"/>
        <v>45135</v>
      </c>
      <c r="U32" s="61">
        <f t="shared" si="17"/>
        <v>45657</v>
      </c>
      <c r="V32" s="62">
        <f t="shared" si="4"/>
        <v>-50000</v>
      </c>
      <c r="W32" s="62">
        <f t="shared" si="5"/>
        <v>50000</v>
      </c>
      <c r="X32" s="62">
        <f t="shared" si="4"/>
        <v>-50000</v>
      </c>
      <c r="Y32" s="62">
        <f t="shared" si="6"/>
        <v>166666.66666666669</v>
      </c>
      <c r="Z32" s="59"/>
      <c r="AA32" s="59" t="s">
        <v>69</v>
      </c>
      <c r="AC32" s="1" t="str">
        <f t="shared" si="7"/>
        <v>Hephaestus</v>
      </c>
      <c r="AD32" s="5">
        <v>14000</v>
      </c>
      <c r="AE32" s="5">
        <f t="shared" si="8"/>
        <v>14000</v>
      </c>
      <c r="AF32" s="5">
        <f t="shared" si="9"/>
        <v>46666.666666666672</v>
      </c>
      <c r="AH32" s="1" t="str">
        <f t="shared" si="10"/>
        <v>Hephaestus</v>
      </c>
      <c r="AI32" s="5">
        <v>5000</v>
      </c>
      <c r="AJ32" s="5">
        <f t="shared" si="11"/>
        <v>5000</v>
      </c>
      <c r="AK32" s="5">
        <f t="shared" si="12"/>
        <v>16666.666666666668</v>
      </c>
      <c r="AM32" s="1" t="str">
        <f t="shared" si="13"/>
        <v>Hephaestus</v>
      </c>
      <c r="AN32" s="5">
        <v>20000</v>
      </c>
      <c r="AO32" s="5">
        <f t="shared" si="14"/>
        <v>20000</v>
      </c>
      <c r="AP32" s="5">
        <f t="shared" si="15"/>
        <v>66666.666666666672</v>
      </c>
    </row>
    <row r="33" spans="2:42" ht="15" customHeight="1" x14ac:dyDescent="0.2">
      <c r="B33" s="2" t="s">
        <v>100</v>
      </c>
      <c r="C33" s="55" t="s">
        <v>16</v>
      </c>
      <c r="D33" s="71" t="s">
        <v>98</v>
      </c>
      <c r="E33" s="56">
        <v>6.5</v>
      </c>
      <c r="F33" s="56">
        <f>E33</f>
        <v>6.5</v>
      </c>
      <c r="G33" s="56">
        <f>F33</f>
        <v>6.5</v>
      </c>
      <c r="H33" s="56">
        <v>20</v>
      </c>
      <c r="I33" s="57">
        <f t="shared" si="18"/>
        <v>1</v>
      </c>
      <c r="J33" s="57">
        <f t="shared" si="19"/>
        <v>3.0769230769230771</v>
      </c>
      <c r="K33" s="58">
        <f t="shared" si="1"/>
        <v>2.9802322387695314E-9</v>
      </c>
      <c r="L33" s="58">
        <f t="shared" si="2"/>
        <v>1.8031391501426697</v>
      </c>
      <c r="M33" s="59"/>
      <c r="N33" s="60">
        <v>20000</v>
      </c>
      <c r="O33" s="58">
        <f t="shared" si="0"/>
        <v>1.6983676614764662E-2</v>
      </c>
      <c r="P33" s="58">
        <f t="shared" si="20"/>
        <v>3.3442411331626655E-2</v>
      </c>
      <c r="Q33" s="59"/>
      <c r="R33" s="61">
        <v>45259</v>
      </c>
      <c r="S33" s="61">
        <f t="shared" si="16"/>
        <v>45291</v>
      </c>
      <c r="T33" s="61">
        <f t="shared" si="3"/>
        <v>45259</v>
      </c>
      <c r="U33" s="61">
        <f t="shared" si="17"/>
        <v>45657</v>
      </c>
      <c r="V33" s="62">
        <f t="shared" si="4"/>
        <v>-20000</v>
      </c>
      <c r="W33" s="62">
        <f t="shared" si="5"/>
        <v>20000</v>
      </c>
      <c r="X33" s="62">
        <f t="shared" si="4"/>
        <v>-20000</v>
      </c>
      <c r="Y33" s="62">
        <f t="shared" si="6"/>
        <v>61538.461538461539</v>
      </c>
      <c r="Z33" s="59"/>
      <c r="AA33" s="59" t="s">
        <v>71</v>
      </c>
      <c r="AC33" s="1" t="str">
        <f t="shared" si="7"/>
        <v>Innerworks</v>
      </c>
      <c r="AD33" s="5">
        <v>6000</v>
      </c>
      <c r="AE33" s="5">
        <f t="shared" si="8"/>
        <v>6000</v>
      </c>
      <c r="AF33" s="5">
        <f t="shared" si="9"/>
        <v>18461.538461538461</v>
      </c>
      <c r="AH33" s="1" t="str">
        <f t="shared" si="10"/>
        <v>Innerworks</v>
      </c>
      <c r="AI33" s="5">
        <v>6000</v>
      </c>
      <c r="AJ33" s="5">
        <f t="shared" si="11"/>
        <v>6000</v>
      </c>
      <c r="AK33" s="5">
        <f t="shared" si="12"/>
        <v>18461.538461538461</v>
      </c>
      <c r="AM33" s="1" t="str">
        <f t="shared" si="13"/>
        <v>Innerworks</v>
      </c>
      <c r="AN33" s="5">
        <v>0</v>
      </c>
      <c r="AO33" s="5">
        <f t="shared" si="14"/>
        <v>0</v>
      </c>
      <c r="AP33" s="5">
        <f t="shared" si="15"/>
        <v>0</v>
      </c>
    </row>
    <row r="34" spans="2:42" ht="15" customHeight="1" x14ac:dyDescent="0.2">
      <c r="B34" s="2" t="s">
        <v>100</v>
      </c>
      <c r="C34" s="55" t="s">
        <v>17</v>
      </c>
      <c r="D34" s="71" t="s">
        <v>98</v>
      </c>
      <c r="E34" s="56">
        <v>15</v>
      </c>
      <c r="F34" s="56">
        <f>E34</f>
        <v>15</v>
      </c>
      <c r="G34" s="56">
        <v>26.7</v>
      </c>
      <c r="H34" s="56">
        <v>26.7</v>
      </c>
      <c r="I34" s="57">
        <f t="shared" si="18"/>
        <v>1</v>
      </c>
      <c r="J34" s="57">
        <f t="shared" si="19"/>
        <v>1.78</v>
      </c>
      <c r="K34" s="58">
        <f t="shared" si="1"/>
        <v>2.9802322387695314E-9</v>
      </c>
      <c r="L34" s="58">
        <f t="shared" si="2"/>
        <v>0.69916290044784568</v>
      </c>
      <c r="M34" s="59"/>
      <c r="N34" s="60">
        <v>20000</v>
      </c>
      <c r="O34" s="58">
        <f t="shared" si="0"/>
        <v>1.6983676614764662E-2</v>
      </c>
      <c r="P34" s="58">
        <f t="shared" si="20"/>
        <v>3.3442411331626655E-2</v>
      </c>
      <c r="Q34" s="59"/>
      <c r="R34" s="61">
        <v>45260</v>
      </c>
      <c r="S34" s="61">
        <f t="shared" si="16"/>
        <v>45291</v>
      </c>
      <c r="T34" s="61">
        <f t="shared" si="3"/>
        <v>45260</v>
      </c>
      <c r="U34" s="61">
        <f t="shared" si="17"/>
        <v>45657</v>
      </c>
      <c r="V34" s="62">
        <f t="shared" si="4"/>
        <v>-20000</v>
      </c>
      <c r="W34" s="62">
        <f t="shared" si="5"/>
        <v>20000</v>
      </c>
      <c r="X34" s="62">
        <f t="shared" si="4"/>
        <v>-20000</v>
      </c>
      <c r="Y34" s="62">
        <f t="shared" si="6"/>
        <v>35600</v>
      </c>
      <c r="Z34" s="59"/>
      <c r="AA34" s="59" t="s">
        <v>70</v>
      </c>
      <c r="AC34" s="1" t="str">
        <f t="shared" si="7"/>
        <v>Dirac</v>
      </c>
      <c r="AD34" s="5">
        <v>6000</v>
      </c>
      <c r="AE34" s="5">
        <f t="shared" si="8"/>
        <v>6000</v>
      </c>
      <c r="AF34" s="5">
        <f t="shared" si="9"/>
        <v>10680</v>
      </c>
      <c r="AH34" s="1" t="str">
        <f t="shared" si="10"/>
        <v>Dirac</v>
      </c>
      <c r="AI34" s="5">
        <v>6000</v>
      </c>
      <c r="AJ34" s="5">
        <f t="shared" si="11"/>
        <v>6000</v>
      </c>
      <c r="AK34" s="5">
        <f t="shared" si="12"/>
        <v>10680</v>
      </c>
      <c r="AM34" s="1" t="str">
        <f t="shared" si="13"/>
        <v>Dirac</v>
      </c>
      <c r="AN34" s="5">
        <v>0</v>
      </c>
      <c r="AO34" s="5">
        <f t="shared" si="14"/>
        <v>0</v>
      </c>
      <c r="AP34" s="5">
        <f t="shared" si="15"/>
        <v>0</v>
      </c>
    </row>
    <row r="35" spans="2:42" ht="15" customHeight="1" x14ac:dyDescent="0.2">
      <c r="B35" s="2" t="s">
        <v>100</v>
      </c>
      <c r="C35" s="55" t="s">
        <v>93</v>
      </c>
      <c r="D35" s="71" t="s">
        <v>98</v>
      </c>
      <c r="E35" s="56">
        <v>7.5</v>
      </c>
      <c r="F35" s="56">
        <f>E35</f>
        <v>7.5</v>
      </c>
      <c r="G35" s="56">
        <f>F35</f>
        <v>7.5</v>
      </c>
      <c r="H35" s="56">
        <f>H25</f>
        <v>20</v>
      </c>
      <c r="I35" s="57">
        <f t="shared" ref="I35" si="22">F35/$E35</f>
        <v>1</v>
      </c>
      <c r="J35" s="57">
        <f t="shared" ref="J35" si="23">H35/$E35</f>
        <v>2.6666666666666665</v>
      </c>
      <c r="K35" s="66"/>
      <c r="L35" s="58">
        <f t="shared" ref="L35" si="24">IFERROR(XIRR(X35:Y35,T35:U35),-1)</f>
        <v>1.6738619208335881</v>
      </c>
      <c r="M35" s="59"/>
      <c r="N35" s="60">
        <v>23000</v>
      </c>
      <c r="O35" s="58">
        <f t="shared" si="0"/>
        <v>1.9531228106979364E-2</v>
      </c>
      <c r="P35" s="58">
        <f t="shared" si="20"/>
        <v>3.8458773031370651E-2</v>
      </c>
      <c r="Q35" s="59"/>
      <c r="R35" s="61">
        <v>45293</v>
      </c>
      <c r="S35" s="61"/>
      <c r="T35" s="61">
        <f t="shared" ref="T35" si="25">R35</f>
        <v>45293</v>
      </c>
      <c r="U35" s="61">
        <f t="shared" si="17"/>
        <v>45657</v>
      </c>
      <c r="V35" s="62">
        <f t="shared" si="4"/>
        <v>-23000</v>
      </c>
      <c r="W35" s="62">
        <f t="shared" ref="W35" si="26">-$V35*I35</f>
        <v>23000</v>
      </c>
      <c r="X35" s="62">
        <f t="shared" si="4"/>
        <v>-23000</v>
      </c>
      <c r="Y35" s="62">
        <f t="shared" ref="Y35" si="27">-$V35*J35</f>
        <v>61333.333333333328</v>
      </c>
      <c r="Z35" s="59"/>
      <c r="AA35" s="59" t="s">
        <v>70</v>
      </c>
      <c r="AC35" s="1" t="str">
        <f t="shared" si="7"/>
        <v>Scout AI (Pre-Seed 2)</v>
      </c>
      <c r="AD35" s="5"/>
      <c r="AE35" s="5"/>
      <c r="AF35" s="5"/>
      <c r="AH35" s="1" t="str">
        <f t="shared" si="10"/>
        <v>Scout AI (Pre-Seed 2)</v>
      </c>
      <c r="AI35" s="5"/>
      <c r="AJ35" s="5"/>
      <c r="AK35" s="5"/>
      <c r="AM35" s="1" t="str">
        <f t="shared" si="13"/>
        <v>Scout AI (Pre-Seed 2)</v>
      </c>
      <c r="AN35" s="5"/>
      <c r="AO35" s="5"/>
      <c r="AP35" s="5"/>
    </row>
    <row r="36" spans="2:42" ht="15" customHeight="1" x14ac:dyDescent="0.2">
      <c r="B36" s="2" t="s">
        <v>100</v>
      </c>
      <c r="C36" s="55" t="s">
        <v>18</v>
      </c>
      <c r="D36" s="71" t="s">
        <v>98</v>
      </c>
      <c r="E36" s="56">
        <v>13.9</v>
      </c>
      <c r="F36" s="56">
        <f>E36</f>
        <v>13.9</v>
      </c>
      <c r="G36" s="56">
        <f>F36</f>
        <v>13.9</v>
      </c>
      <c r="H36" s="56">
        <f>F36</f>
        <v>13.9</v>
      </c>
      <c r="I36" s="57">
        <f t="shared" ref="I36" si="28">F36/$E36</f>
        <v>1</v>
      </c>
      <c r="J36" s="57">
        <f t="shared" ref="J36" si="29">H36/$E36</f>
        <v>1</v>
      </c>
      <c r="K36" s="66"/>
      <c r="L36" s="58">
        <f t="shared" ref="L36" si="30">IFERROR(XIRR(X36:Y36,T36:U36),-1)</f>
        <v>2.9802322387695314E-9</v>
      </c>
      <c r="M36" s="59"/>
      <c r="N36" s="60">
        <v>12000</v>
      </c>
      <c r="O36" s="58">
        <f t="shared" si="0"/>
        <v>1.0190205968858798E-2</v>
      </c>
      <c r="P36" s="58">
        <f t="shared" si="20"/>
        <v>2.0065446798975994E-2</v>
      </c>
      <c r="Q36" s="59"/>
      <c r="R36" s="61">
        <v>45294</v>
      </c>
      <c r="S36" s="61"/>
      <c r="T36" s="61">
        <f t="shared" ref="T36" si="31">R36</f>
        <v>45294</v>
      </c>
      <c r="U36" s="61">
        <f>U34</f>
        <v>45657</v>
      </c>
      <c r="V36" s="62">
        <f t="shared" si="4"/>
        <v>-12000</v>
      </c>
      <c r="W36" s="62">
        <f t="shared" ref="W36" si="32">-$V36*I36</f>
        <v>12000</v>
      </c>
      <c r="X36" s="62">
        <f t="shared" si="4"/>
        <v>-12000</v>
      </c>
      <c r="Y36" s="62">
        <f t="shared" ref="Y36" si="33">-$V36*J36</f>
        <v>12000</v>
      </c>
      <c r="Z36" s="59"/>
      <c r="AA36" s="59" t="s">
        <v>70</v>
      </c>
      <c r="AC36" s="1" t="str">
        <f t="shared" si="7"/>
        <v>Marathon Fusion</v>
      </c>
      <c r="AD36" s="5"/>
      <c r="AE36" s="5"/>
      <c r="AF36" s="5"/>
      <c r="AH36" s="1" t="str">
        <f t="shared" si="10"/>
        <v>Marathon Fusion</v>
      </c>
      <c r="AI36" s="5"/>
      <c r="AJ36" s="5"/>
      <c r="AK36" s="5"/>
      <c r="AM36" s="1" t="str">
        <f t="shared" si="13"/>
        <v>Marathon Fusion</v>
      </c>
      <c r="AN36" s="5"/>
      <c r="AO36" s="5"/>
      <c r="AP36" s="5"/>
    </row>
    <row r="37" spans="2:42" ht="15" customHeight="1" x14ac:dyDescent="0.2">
      <c r="B37" s="2" t="s">
        <v>100</v>
      </c>
      <c r="C37" s="55" t="s">
        <v>34</v>
      </c>
      <c r="D37" s="71" t="s">
        <v>98</v>
      </c>
      <c r="E37" s="56">
        <v>25</v>
      </c>
      <c r="F37" s="56">
        <v>25</v>
      </c>
      <c r="G37" s="56">
        <v>25</v>
      </c>
      <c r="H37" s="56">
        <f>H22</f>
        <v>50</v>
      </c>
      <c r="I37" s="57">
        <f t="shared" ref="I37:I38" si="34">F37/$E37</f>
        <v>1</v>
      </c>
      <c r="J37" s="57">
        <f t="shared" ref="J37:J38" si="35">H37/$E37</f>
        <v>2</v>
      </c>
      <c r="K37" s="66"/>
      <c r="L37" s="58">
        <f t="shared" ref="L37:L38" si="36">IFERROR(XIRR(X37:Y37,T37:U37),-1)</f>
        <v>1.0313079476356506</v>
      </c>
      <c r="M37" s="59"/>
      <c r="N37" s="60">
        <v>12000</v>
      </c>
      <c r="O37" s="58">
        <f t="shared" si="0"/>
        <v>1.0190205968858798E-2</v>
      </c>
      <c r="P37" s="58">
        <f t="shared" si="20"/>
        <v>2.0065446798975994E-2</v>
      </c>
      <c r="Q37" s="59"/>
      <c r="R37" s="61">
        <v>45300</v>
      </c>
      <c r="S37" s="61"/>
      <c r="T37" s="61">
        <f t="shared" ref="T37:T38" si="37">R37</f>
        <v>45300</v>
      </c>
      <c r="U37" s="61">
        <f t="shared" ref="U37:U38" si="38">U35</f>
        <v>45657</v>
      </c>
      <c r="V37" s="62">
        <f t="shared" si="4"/>
        <v>-12000</v>
      </c>
      <c r="W37" s="62">
        <f t="shared" ref="W37:W38" si="39">-$V37*I37</f>
        <v>12000</v>
      </c>
      <c r="X37" s="62">
        <f t="shared" si="4"/>
        <v>-12000</v>
      </c>
      <c r="Y37" s="62">
        <f t="shared" ref="Y37:Y38" si="40">-$V37*J37</f>
        <v>24000</v>
      </c>
      <c r="Z37" s="59"/>
      <c r="AA37" s="59" t="s">
        <v>70</v>
      </c>
      <c r="AC37" s="1" t="str">
        <f t="shared" ref="AC37:AC38" si="41">C37</f>
        <v>Smerf (Jan-24)</v>
      </c>
      <c r="AD37" s="5"/>
      <c r="AE37" s="5"/>
      <c r="AF37" s="5"/>
      <c r="AH37" s="1" t="str">
        <f t="shared" ref="AH37:AH38" si="42">AC37</f>
        <v>Smerf (Jan-24)</v>
      </c>
      <c r="AI37" s="5"/>
      <c r="AJ37" s="5"/>
      <c r="AK37" s="5"/>
      <c r="AM37" s="1" t="str">
        <f t="shared" ref="AM37:AM38" si="43">AH37</f>
        <v>Smerf (Jan-24)</v>
      </c>
      <c r="AN37" s="5"/>
      <c r="AO37" s="5"/>
      <c r="AP37" s="5"/>
    </row>
    <row r="38" spans="2:42" ht="15" customHeight="1" x14ac:dyDescent="0.2">
      <c r="B38" s="2" t="s">
        <v>100</v>
      </c>
      <c r="C38" s="55" t="s">
        <v>33</v>
      </c>
      <c r="D38" s="71" t="s">
        <v>98</v>
      </c>
      <c r="E38" s="56">
        <v>30</v>
      </c>
      <c r="F38" s="56">
        <v>30</v>
      </c>
      <c r="G38" s="56">
        <v>30</v>
      </c>
      <c r="H38" s="56">
        <f>H30</f>
        <v>80</v>
      </c>
      <c r="I38" s="57">
        <f t="shared" si="34"/>
        <v>1</v>
      </c>
      <c r="J38" s="57">
        <f t="shared" si="35"/>
        <v>2.6666666666666665</v>
      </c>
      <c r="K38" s="66"/>
      <c r="L38" s="58">
        <f t="shared" si="36"/>
        <v>1.8484969019889832</v>
      </c>
      <c r="M38" s="59"/>
      <c r="N38" s="60">
        <v>10000</v>
      </c>
      <c r="O38" s="58">
        <f t="shared" si="0"/>
        <v>8.4918383073823312E-3</v>
      </c>
      <c r="P38" s="58">
        <f t="shared" si="20"/>
        <v>1.6721205665813327E-2</v>
      </c>
      <c r="Q38" s="59"/>
      <c r="R38" s="61">
        <v>45315</v>
      </c>
      <c r="S38" s="61"/>
      <c r="T38" s="61">
        <f t="shared" si="37"/>
        <v>45315</v>
      </c>
      <c r="U38" s="61">
        <f t="shared" si="38"/>
        <v>45657</v>
      </c>
      <c r="V38" s="62">
        <f t="shared" ref="V38" si="44">-$N38</f>
        <v>-10000</v>
      </c>
      <c r="W38" s="62">
        <f t="shared" si="39"/>
        <v>10000</v>
      </c>
      <c r="X38" s="62">
        <f t="shared" ref="X38" si="45">-$N38</f>
        <v>-10000</v>
      </c>
      <c r="Y38" s="62">
        <f t="shared" si="40"/>
        <v>26666.666666666664</v>
      </c>
      <c r="Z38" s="59"/>
      <c r="AA38" s="59" t="s">
        <v>70</v>
      </c>
      <c r="AC38" s="1" t="str">
        <f t="shared" si="41"/>
        <v>Emerge (Jan-24)</v>
      </c>
      <c r="AD38" s="5"/>
      <c r="AE38" s="5"/>
      <c r="AF38" s="5"/>
      <c r="AH38" s="1" t="str">
        <f t="shared" si="42"/>
        <v>Emerge (Jan-24)</v>
      </c>
      <c r="AI38" s="5"/>
      <c r="AJ38" s="5"/>
      <c r="AK38" s="5"/>
      <c r="AM38" s="1" t="str">
        <f t="shared" si="43"/>
        <v>Emerge (Jan-24)</v>
      </c>
      <c r="AN38" s="5"/>
      <c r="AO38" s="5"/>
      <c r="AP38" s="5"/>
    </row>
    <row r="39" spans="2:42" ht="15" customHeight="1" x14ac:dyDescent="0.2">
      <c r="C39" s="23"/>
      <c r="D39" s="72"/>
      <c r="E39" s="24"/>
      <c r="F39" s="24"/>
      <c r="G39" s="24"/>
      <c r="H39" s="24"/>
      <c r="I39" s="25"/>
      <c r="J39" s="25"/>
      <c r="K39" s="73"/>
      <c r="L39" s="63"/>
      <c r="M39" s="20"/>
      <c r="N39" s="26"/>
      <c r="O39" s="63"/>
      <c r="P39" s="63"/>
      <c r="Q39" s="20"/>
      <c r="R39" s="64"/>
      <c r="S39" s="64"/>
      <c r="T39" s="64"/>
      <c r="U39" s="64"/>
      <c r="V39" s="65"/>
      <c r="W39" s="65"/>
      <c r="X39" s="65"/>
      <c r="Y39" s="65"/>
      <c r="Z39" s="20"/>
      <c r="AA39" s="20"/>
      <c r="AC39" s="1"/>
      <c r="AD39" s="5"/>
      <c r="AE39" s="5"/>
      <c r="AF39" s="5"/>
      <c r="AH39" s="1"/>
      <c r="AI39" s="5"/>
      <c r="AJ39" s="5"/>
      <c r="AK39" s="5"/>
      <c r="AM39" s="1"/>
      <c r="AN39" s="5"/>
      <c r="AO39" s="5"/>
      <c r="AP39" s="5"/>
    </row>
    <row r="40" spans="2:42" ht="5" customHeight="1" x14ac:dyDescent="0.2">
      <c r="C40" s="23"/>
      <c r="D40" s="23"/>
      <c r="E40" s="24"/>
      <c r="F40" s="24"/>
      <c r="G40" s="24"/>
      <c r="H40" s="24"/>
      <c r="I40" s="25"/>
      <c r="J40" s="25"/>
      <c r="K40" s="25"/>
      <c r="L40" s="25"/>
      <c r="M40" s="20"/>
      <c r="N40" s="20"/>
      <c r="O40" s="20"/>
      <c r="P40" s="20"/>
      <c r="Q40" s="20"/>
      <c r="R40" s="20"/>
      <c r="S40" s="20"/>
      <c r="T40" s="20"/>
      <c r="U40" s="20"/>
      <c r="V40" s="20"/>
      <c r="W40" s="20"/>
      <c r="X40" s="20"/>
      <c r="Y40" s="20"/>
      <c r="Z40" s="20"/>
      <c r="AA40" s="20"/>
    </row>
    <row r="41" spans="2:42" ht="18" customHeight="1" x14ac:dyDescent="0.35">
      <c r="C41" s="23"/>
      <c r="D41" s="23"/>
      <c r="E41" s="24"/>
      <c r="F41" s="24"/>
      <c r="G41" s="24"/>
      <c r="H41" s="24"/>
      <c r="I41" s="19" t="s">
        <v>35</v>
      </c>
      <c r="J41" s="19"/>
      <c r="K41" s="19" t="s">
        <v>41</v>
      </c>
      <c r="L41" s="19"/>
      <c r="M41" s="20"/>
      <c r="N41" s="20"/>
      <c r="O41" s="20"/>
      <c r="P41" s="20"/>
      <c r="Q41" s="20"/>
      <c r="R41" s="20"/>
      <c r="S41" s="20"/>
      <c r="T41" s="20"/>
      <c r="U41" s="20"/>
      <c r="V41" s="20"/>
      <c r="W41" s="20"/>
      <c r="X41" s="20"/>
      <c r="Y41" s="20"/>
      <c r="Z41" s="20"/>
      <c r="AA41" s="20"/>
    </row>
    <row r="42" spans="2:42" ht="20" customHeight="1" x14ac:dyDescent="0.35">
      <c r="C42" s="21" t="s">
        <v>76</v>
      </c>
      <c r="D42" s="21"/>
      <c r="E42" s="24"/>
      <c r="F42" s="24"/>
      <c r="G42" s="24"/>
      <c r="H42" s="24"/>
      <c r="I42" s="22" t="s">
        <v>42</v>
      </c>
      <c r="J42" s="19" t="s">
        <v>26</v>
      </c>
      <c r="K42" s="22" t="s">
        <v>42</v>
      </c>
      <c r="L42" s="19" t="s">
        <v>26</v>
      </c>
      <c r="M42" s="20"/>
      <c r="N42" s="20"/>
      <c r="O42" s="20"/>
      <c r="P42" s="20"/>
      <c r="Q42" s="20"/>
      <c r="R42" s="20"/>
      <c r="S42" s="20"/>
      <c r="T42" s="20"/>
      <c r="U42" s="20"/>
      <c r="V42" s="20"/>
      <c r="W42" s="20"/>
      <c r="X42" s="20"/>
      <c r="Y42" s="20"/>
      <c r="Z42" s="20"/>
      <c r="AA42" s="20"/>
      <c r="AD42" s="6" t="s">
        <v>48</v>
      </c>
      <c r="AE42" s="6" t="s">
        <v>42</v>
      </c>
      <c r="AF42" s="4" t="s">
        <v>26</v>
      </c>
      <c r="AI42" s="6" t="s">
        <v>48</v>
      </c>
      <c r="AJ42" s="6" t="s">
        <v>42</v>
      </c>
      <c r="AK42" s="4" t="s">
        <v>26</v>
      </c>
      <c r="AN42" s="6" t="str">
        <f>AI42</f>
        <v>Inv. Cap.</v>
      </c>
      <c r="AO42" s="6" t="str">
        <f t="shared" ref="AO42:AP42" si="46">AJ42</f>
        <v>Dec-23</v>
      </c>
      <c r="AP42" s="6" t="str">
        <f t="shared" si="46"/>
        <v>Dec-24E</v>
      </c>
    </row>
    <row r="43" spans="2:42" ht="5" customHeight="1" x14ac:dyDescent="0.35">
      <c r="C43" s="23"/>
      <c r="D43" s="23"/>
      <c r="E43" s="24"/>
      <c r="F43" s="24"/>
      <c r="G43" s="24"/>
      <c r="H43" s="24"/>
      <c r="I43" s="22"/>
      <c r="J43" s="19"/>
      <c r="K43" s="22"/>
      <c r="L43" s="19"/>
      <c r="M43" s="20"/>
      <c r="N43" s="20"/>
      <c r="O43" s="20"/>
      <c r="P43" s="20"/>
      <c r="Q43" s="20"/>
      <c r="R43" s="20"/>
      <c r="S43" s="20"/>
      <c r="T43" s="20"/>
      <c r="U43" s="20"/>
      <c r="V43" s="20"/>
      <c r="W43" s="20"/>
      <c r="X43" s="20"/>
      <c r="Y43" s="20"/>
      <c r="Z43" s="20"/>
      <c r="AA43" s="20"/>
      <c r="AD43" s="6"/>
      <c r="AE43" s="6"/>
      <c r="AF43" s="4"/>
      <c r="AI43" s="6"/>
      <c r="AJ43" s="6"/>
      <c r="AK43" s="4"/>
      <c r="AN43" s="6">
        <v>0</v>
      </c>
      <c r="AO43" s="6"/>
      <c r="AP43" s="4"/>
    </row>
    <row r="44" spans="2:42" ht="17" x14ac:dyDescent="0.2">
      <c r="C44" s="27" t="s">
        <v>86</v>
      </c>
      <c r="D44" s="67"/>
      <c r="E44" s="28"/>
      <c r="F44" s="29"/>
      <c r="G44" s="29"/>
      <c r="H44" s="29"/>
      <c r="I44" s="30">
        <f>AVERAGE(I5:I40)</f>
        <v>1.2617843959642467</v>
      </c>
      <c r="J44" s="30">
        <f>AVERAGE(J5:J40)</f>
        <v>2.2415785025182795</v>
      </c>
      <c r="K44" s="31">
        <f>AVERAGE(K5:K40)</f>
        <v>3.4079219028353672E-3</v>
      </c>
      <c r="L44" s="32">
        <f>AVERAGE(L5:L40)</f>
        <v>0.38785919783746492</v>
      </c>
      <c r="M44" s="20"/>
      <c r="N44" s="33">
        <f>SUM(N5:N40)</f>
        <v>1177601.32</v>
      </c>
      <c r="O44" s="34">
        <f>N44/$N$44</f>
        <v>1</v>
      </c>
      <c r="P44" s="34"/>
      <c r="Q44" s="20"/>
      <c r="R44" s="35"/>
      <c r="S44" s="35"/>
      <c r="T44" s="35"/>
      <c r="U44" s="35"/>
      <c r="V44" s="36"/>
      <c r="W44" s="36"/>
      <c r="X44" s="36"/>
      <c r="Y44" s="36"/>
      <c r="Z44" s="20"/>
      <c r="AA44" s="20"/>
      <c r="AB44" s="10"/>
      <c r="AC44" s="11" t="s">
        <v>80</v>
      </c>
      <c r="AD44" s="12">
        <f>SUM(AD5:AD34)</f>
        <v>278359.27</v>
      </c>
      <c r="AE44" s="12">
        <f>SUM(AE5:AE34)</f>
        <v>461266.87376932858</v>
      </c>
      <c r="AF44" s="13">
        <f>SUM(AF5:AF34)</f>
        <v>689380.73825844901</v>
      </c>
      <c r="AH44" s="11" t="s">
        <v>80</v>
      </c>
      <c r="AI44" s="12">
        <f>SUM(AI5:AI34)</f>
        <v>222877.74</v>
      </c>
      <c r="AJ44" s="12">
        <f>SUM(AJ5:AJ34)</f>
        <v>439437.31030614837</v>
      </c>
      <c r="AK44" s="13">
        <f>SUM(AK5:AK34)</f>
        <v>615656.10491411004</v>
      </c>
      <c r="AM44" s="11" t="s">
        <v>80</v>
      </c>
      <c r="AN44" s="12">
        <f>SUM(AN5:AN34)</f>
        <v>365510.94</v>
      </c>
      <c r="AO44" s="12">
        <f>SUM(AO5:AO34)</f>
        <v>1353471.3110830139</v>
      </c>
      <c r="AP44" s="13">
        <f>SUM(AP5:AP34)</f>
        <v>1718422.1511537307</v>
      </c>
    </row>
    <row r="45" spans="2:42" ht="17" x14ac:dyDescent="0.2">
      <c r="C45" s="37" t="s">
        <v>87</v>
      </c>
      <c r="D45" s="68"/>
      <c r="E45" s="38"/>
      <c r="F45" s="39"/>
      <c r="G45" s="39"/>
      <c r="H45" s="39"/>
      <c r="I45" s="40">
        <f>SUMPRODUCT(I5:I40,$O$5:$O$40)</f>
        <v>2.244994285177389</v>
      </c>
      <c r="J45" s="40">
        <f>SUMPRODUCT(J5:J40,$O$5:$O$40)</f>
        <v>3.1609017643851867</v>
      </c>
      <c r="K45" s="41">
        <f>SUMPRODUCT(K5:K40,$O$5:$O$40)</f>
        <v>4.3208726824559028E-2</v>
      </c>
      <c r="L45" s="42">
        <f>SUMPRODUCT(L5:L40,$O$5:$O$40)</f>
        <v>0.37021359149478789</v>
      </c>
      <c r="M45" s="20"/>
      <c r="N45" s="20"/>
      <c r="O45" s="20"/>
      <c r="P45" s="20"/>
      <c r="Q45" s="20"/>
      <c r="R45" s="20"/>
      <c r="S45" s="20"/>
      <c r="T45" s="20"/>
      <c r="U45" s="20"/>
      <c r="V45" s="20"/>
      <c r="W45" s="20"/>
      <c r="X45" s="20"/>
      <c r="Y45" s="20"/>
      <c r="Z45" s="20"/>
      <c r="AA45" s="20"/>
      <c r="AB45" s="10"/>
      <c r="AC45" s="14" t="s">
        <v>35</v>
      </c>
      <c r="AD45" s="15"/>
      <c r="AE45" s="7">
        <f>AE44/AD44</f>
        <v>1.6570918359188416</v>
      </c>
      <c r="AF45" s="8">
        <f>AF44/AD44</f>
        <v>2.476586241437007</v>
      </c>
      <c r="AH45" s="14" t="s">
        <v>35</v>
      </c>
      <c r="AI45" s="15"/>
      <c r="AJ45" s="7">
        <f>AJ44/AI44</f>
        <v>1.9716518585756855</v>
      </c>
      <c r="AK45" s="8">
        <f>AK44/AI44</f>
        <v>2.7623041444789869</v>
      </c>
      <c r="AM45" s="14" t="s">
        <v>35</v>
      </c>
      <c r="AN45" s="15"/>
      <c r="AO45" s="7">
        <f>AO44/AN44</f>
        <v>3.7029570471488866</v>
      </c>
      <c r="AP45" s="8">
        <f>AP44/AN44</f>
        <v>4.7014246718681818</v>
      </c>
    </row>
    <row r="46" spans="2:42" x14ac:dyDescent="0.2">
      <c r="C46" s="43"/>
      <c r="D46" s="43"/>
      <c r="E46" s="44"/>
      <c r="F46" s="45"/>
      <c r="G46" s="45"/>
      <c r="H46" s="45"/>
      <c r="I46" s="46"/>
      <c r="J46" s="46"/>
      <c r="K46" s="25"/>
      <c r="L46" s="25"/>
      <c r="M46" s="20"/>
      <c r="N46" s="20"/>
      <c r="O46" s="20"/>
      <c r="P46" s="20"/>
      <c r="Q46" s="20"/>
      <c r="R46" s="20"/>
      <c r="S46" s="20"/>
      <c r="T46" s="20"/>
      <c r="U46" s="20"/>
      <c r="V46" s="20"/>
      <c r="W46" s="20"/>
      <c r="X46" s="20"/>
      <c r="Y46" s="20"/>
      <c r="Z46" s="20"/>
      <c r="AA46" s="20"/>
    </row>
    <row r="47" spans="2:42" ht="17" hidden="1" outlineLevel="1" x14ac:dyDescent="0.2">
      <c r="C47" s="23" t="s">
        <v>45</v>
      </c>
      <c r="D47" s="23"/>
      <c r="E47" s="47">
        <f>COUNT(E5:E36)</f>
        <v>30</v>
      </c>
      <c r="F47" s="45"/>
      <c r="G47" s="45"/>
      <c r="H47" s="45"/>
      <c r="I47" s="46"/>
      <c r="J47" s="46"/>
      <c r="K47" s="25"/>
      <c r="L47" s="25"/>
      <c r="M47" s="20"/>
      <c r="N47" s="20"/>
      <c r="O47" s="20"/>
      <c r="P47" s="20"/>
      <c r="Q47" s="20"/>
      <c r="R47" s="20"/>
      <c r="S47" s="20"/>
      <c r="T47" s="20"/>
      <c r="U47" s="20"/>
      <c r="V47" s="20"/>
      <c r="W47" s="20"/>
      <c r="X47" s="20"/>
      <c r="Y47" s="20"/>
      <c r="Z47" s="20"/>
      <c r="AA47" s="20"/>
    </row>
    <row r="48" spans="2:42" ht="17" hidden="1" outlineLevel="1" x14ac:dyDescent="0.2">
      <c r="C48" s="23" t="s">
        <v>46</v>
      </c>
      <c r="D48" s="23"/>
      <c r="E48" s="47">
        <f>COUNT(E21:E34)</f>
        <v>14</v>
      </c>
      <c r="F48" s="45"/>
      <c r="G48" s="45"/>
      <c r="H48" s="45"/>
      <c r="I48" s="46"/>
      <c r="J48" s="46"/>
      <c r="K48" s="25"/>
      <c r="L48" s="25"/>
      <c r="M48" s="20"/>
      <c r="N48" s="20"/>
      <c r="O48" s="20"/>
      <c r="P48" s="20"/>
      <c r="Q48" s="20"/>
      <c r="R48" s="20"/>
      <c r="S48" s="20"/>
      <c r="T48" s="20"/>
      <c r="U48" s="20"/>
      <c r="V48" s="20"/>
      <c r="W48" s="20"/>
      <c r="X48" s="20"/>
      <c r="Y48" s="20"/>
      <c r="Z48" s="20"/>
      <c r="AA48" s="20"/>
    </row>
    <row r="49" spans="3:27" hidden="1" outlineLevel="1" x14ac:dyDescent="0.2">
      <c r="C49" s="23"/>
      <c r="D49" s="23"/>
      <c r="E49" s="20"/>
      <c r="F49" s="24"/>
      <c r="G49" s="24"/>
      <c r="H49" s="24"/>
      <c r="I49" s="25"/>
      <c r="J49" s="25"/>
      <c r="K49" s="25"/>
      <c r="L49" s="25"/>
      <c r="M49" s="20"/>
      <c r="N49" s="20"/>
      <c r="O49" s="20"/>
      <c r="P49" s="20"/>
      <c r="Q49" s="20"/>
      <c r="R49" s="20"/>
      <c r="S49" s="20"/>
      <c r="T49" s="20"/>
      <c r="U49" s="20"/>
      <c r="V49" s="20"/>
      <c r="W49" s="20"/>
      <c r="X49" s="20"/>
      <c r="Y49" s="20"/>
      <c r="Z49" s="20"/>
      <c r="AA49" s="20"/>
    </row>
    <row r="50" spans="3:27" ht="17" hidden="1" outlineLevel="1" x14ac:dyDescent="0.2">
      <c r="C50" s="23" t="s">
        <v>32</v>
      </c>
      <c r="D50" s="23"/>
      <c r="E50" s="24">
        <v>7.5</v>
      </c>
      <c r="F50" s="24">
        <f>F25</f>
        <v>7.5</v>
      </c>
      <c r="G50" s="24"/>
      <c r="H50" s="24">
        <f>H25</f>
        <v>20</v>
      </c>
      <c r="I50" s="25">
        <f t="shared" si="18"/>
        <v>1</v>
      </c>
      <c r="J50" s="25">
        <f t="shared" si="19"/>
        <v>2.6666666666666665</v>
      </c>
      <c r="K50" s="25"/>
      <c r="L50" s="25"/>
      <c r="M50" s="20"/>
      <c r="N50" s="26">
        <v>23000</v>
      </c>
      <c r="O50" s="20"/>
      <c r="P50" s="20"/>
      <c r="Q50" s="20"/>
      <c r="R50" s="20"/>
      <c r="S50" s="20"/>
      <c r="T50" s="20"/>
      <c r="U50" s="20"/>
      <c r="V50" s="20"/>
      <c r="W50" s="20"/>
      <c r="X50" s="20"/>
      <c r="Y50" s="20"/>
      <c r="Z50" s="20"/>
      <c r="AA50" s="20"/>
    </row>
    <row r="51" spans="3:27" ht="17" hidden="1" outlineLevel="1" x14ac:dyDescent="0.2">
      <c r="C51" s="23" t="s">
        <v>33</v>
      </c>
      <c r="D51" s="23"/>
      <c r="E51" s="24">
        <v>65</v>
      </c>
      <c r="F51" s="24">
        <f>E51</f>
        <v>65</v>
      </c>
      <c r="G51" s="24"/>
      <c r="H51" s="24">
        <f>H30</f>
        <v>80</v>
      </c>
      <c r="I51" s="25">
        <f t="shared" si="18"/>
        <v>1</v>
      </c>
      <c r="J51" s="25">
        <f t="shared" si="19"/>
        <v>1.2307692307692308</v>
      </c>
      <c r="K51" s="25"/>
      <c r="L51" s="25"/>
      <c r="M51" s="20"/>
      <c r="N51" s="26">
        <v>10000</v>
      </c>
      <c r="O51" s="20"/>
      <c r="P51" s="20"/>
      <c r="Q51" s="20"/>
      <c r="R51" s="20"/>
      <c r="S51" s="20"/>
      <c r="T51" s="20"/>
      <c r="U51" s="20"/>
      <c r="V51" s="20"/>
      <c r="W51" s="20"/>
      <c r="X51" s="20"/>
      <c r="Y51" s="20"/>
      <c r="Z51" s="20"/>
      <c r="AA51" s="20"/>
    </row>
    <row r="52" spans="3:27" ht="17" hidden="1" outlineLevel="1" x14ac:dyDescent="0.2">
      <c r="C52" s="23" t="s">
        <v>34</v>
      </c>
      <c r="D52" s="23"/>
      <c r="E52" s="24">
        <v>25</v>
      </c>
      <c r="F52" s="24">
        <f>E52</f>
        <v>25</v>
      </c>
      <c r="G52" s="24"/>
      <c r="H52" s="24">
        <f>H31</f>
        <v>40</v>
      </c>
      <c r="I52" s="25">
        <f t="shared" si="18"/>
        <v>1</v>
      </c>
      <c r="J52" s="25">
        <f t="shared" si="19"/>
        <v>1.6</v>
      </c>
      <c r="K52" s="25"/>
      <c r="L52" s="25"/>
      <c r="M52" s="20"/>
      <c r="N52" s="26">
        <v>12000</v>
      </c>
      <c r="O52" s="20"/>
      <c r="P52" s="20"/>
      <c r="Q52" s="20"/>
      <c r="R52" s="20"/>
      <c r="S52" s="20"/>
      <c r="T52" s="20"/>
      <c r="U52" s="20"/>
      <c r="V52" s="20"/>
      <c r="W52" s="20"/>
      <c r="X52" s="20"/>
      <c r="Y52" s="20"/>
      <c r="Z52" s="20"/>
      <c r="AA52" s="20"/>
    </row>
    <row r="53" spans="3:27" ht="17" hidden="1" outlineLevel="1" x14ac:dyDescent="0.2">
      <c r="C53" s="23" t="s">
        <v>18</v>
      </c>
      <c r="D53" s="23"/>
      <c r="E53" s="24">
        <v>13.92</v>
      </c>
      <c r="F53" s="24">
        <f>E53</f>
        <v>13.92</v>
      </c>
      <c r="G53" s="24"/>
      <c r="H53" s="24">
        <v>50</v>
      </c>
      <c r="I53" s="25">
        <f t="shared" si="18"/>
        <v>1</v>
      </c>
      <c r="J53" s="25">
        <f t="shared" si="19"/>
        <v>3.5919540229885056</v>
      </c>
      <c r="K53" s="25"/>
      <c r="L53" s="25"/>
      <c r="M53" s="20"/>
      <c r="N53" s="26">
        <v>0</v>
      </c>
      <c r="O53" s="20"/>
      <c r="P53" s="20"/>
      <c r="Q53" s="20"/>
      <c r="R53" s="20"/>
      <c r="S53" s="20"/>
      <c r="T53" s="20"/>
      <c r="U53" s="20"/>
      <c r="V53" s="20"/>
      <c r="W53" s="20"/>
      <c r="X53" s="20"/>
      <c r="Y53" s="20"/>
      <c r="Z53" s="20"/>
      <c r="AA53" s="20"/>
    </row>
    <row r="54" spans="3:27" ht="19" outlineLevel="1" x14ac:dyDescent="0.35">
      <c r="C54" s="21" t="s">
        <v>77</v>
      </c>
      <c r="D54" s="21"/>
      <c r="E54" s="24"/>
      <c r="F54" s="24"/>
      <c r="G54" s="24"/>
      <c r="H54" s="24"/>
      <c r="I54" s="25"/>
      <c r="J54" s="25"/>
      <c r="K54" s="25"/>
      <c r="L54" s="25"/>
      <c r="M54" s="20"/>
      <c r="N54" s="26"/>
      <c r="O54" s="20"/>
      <c r="P54" s="20"/>
      <c r="Q54" s="20"/>
      <c r="R54" s="20"/>
      <c r="S54" s="20"/>
      <c r="T54" s="20"/>
      <c r="U54" s="20"/>
      <c r="V54" s="20"/>
      <c r="W54" s="20"/>
      <c r="X54" s="20"/>
      <c r="Y54" s="20"/>
      <c r="Z54" s="20"/>
      <c r="AA54" s="20"/>
    </row>
    <row r="55" spans="3:27" ht="5" customHeight="1" outlineLevel="1" x14ac:dyDescent="0.2">
      <c r="C55" s="23"/>
      <c r="D55" s="23"/>
      <c r="E55" s="24"/>
      <c r="F55" s="24"/>
      <c r="G55" s="24"/>
      <c r="H55" s="24"/>
      <c r="I55" s="25"/>
      <c r="J55" s="25"/>
      <c r="K55" s="25"/>
      <c r="L55" s="25"/>
      <c r="M55" s="20"/>
      <c r="N55" s="26"/>
      <c r="O55" s="20"/>
      <c r="P55" s="20"/>
      <c r="Q55" s="20"/>
      <c r="R55" s="20"/>
      <c r="S55" s="20"/>
      <c r="T55" s="20"/>
      <c r="U55" s="20"/>
      <c r="V55" s="20"/>
      <c r="W55" s="20"/>
      <c r="X55" s="20"/>
      <c r="Y55" s="20"/>
      <c r="Z55" s="20"/>
      <c r="AA55" s="20"/>
    </row>
    <row r="56" spans="3:27" ht="17" outlineLevel="1" x14ac:dyDescent="0.2">
      <c r="C56" s="27" t="s">
        <v>86</v>
      </c>
      <c r="D56" s="67"/>
      <c r="E56" s="28"/>
      <c r="F56" s="29"/>
      <c r="G56" s="29"/>
      <c r="H56" s="29"/>
      <c r="I56" s="30">
        <f>AVERAGE(I13:I40)</f>
        <v>0.97318181818181826</v>
      </c>
      <c r="J56" s="30">
        <f>AVERAGE(J13:J40)</f>
        <v>1.9762760577544438</v>
      </c>
      <c r="K56" s="31">
        <f>AVERAGE(K13:K40)</f>
        <v>3.6039632829752799E-3</v>
      </c>
      <c r="L56" s="32">
        <f>AVERAGE(L13:L40)</f>
        <v>0.47715456875470968</v>
      </c>
      <c r="M56" s="20"/>
      <c r="N56" s="26"/>
      <c r="O56" s="20"/>
      <c r="P56" s="20"/>
      <c r="Q56" s="20"/>
      <c r="R56" s="20"/>
      <c r="S56" s="20"/>
      <c r="T56" s="20"/>
      <c r="U56" s="20"/>
      <c r="V56" s="20"/>
      <c r="W56" s="20"/>
      <c r="X56" s="20"/>
      <c r="Y56" s="20"/>
      <c r="Z56" s="20"/>
      <c r="AA56" s="20"/>
    </row>
    <row r="57" spans="3:27" ht="17" outlineLevel="1" x14ac:dyDescent="0.2">
      <c r="C57" s="37" t="s">
        <v>87</v>
      </c>
      <c r="D57" s="68"/>
      <c r="E57" s="38"/>
      <c r="F57" s="39"/>
      <c r="G57" s="39"/>
      <c r="H57" s="39"/>
      <c r="I57" s="40">
        <f>SUMPRODUCT(I13:I40,$P$13:$P$40)</f>
        <v>0.93264850368771002</v>
      </c>
      <c r="J57" s="40">
        <f>SUMPRODUCT(J13:J40,$P$13:$P$40)</f>
        <v>2.1283124473307176</v>
      </c>
      <c r="K57" s="41">
        <f>SUMPRODUCT(K13:K40,$P$13:$P$40)</f>
        <v>-4.7595045405734532E-2</v>
      </c>
      <c r="L57" s="42">
        <f>SUMPRODUCT(L13:L40,$P$13:$P$40)</f>
        <v>0.51532045616954536</v>
      </c>
      <c r="M57" s="20"/>
      <c r="N57" s="26"/>
      <c r="O57" s="20"/>
      <c r="P57" s="20"/>
      <c r="Q57" s="20"/>
      <c r="R57" s="20"/>
      <c r="S57" s="20"/>
      <c r="T57" s="20"/>
      <c r="U57" s="20"/>
      <c r="V57" s="20"/>
      <c r="W57" s="20"/>
      <c r="X57" s="20"/>
      <c r="Y57" s="20"/>
      <c r="Z57" s="20"/>
      <c r="AA57" s="20"/>
    </row>
    <row r="58" spans="3:27" outlineLevel="1" x14ac:dyDescent="0.2">
      <c r="C58" s="23"/>
      <c r="D58" s="23"/>
      <c r="E58" s="24"/>
      <c r="F58" s="48"/>
      <c r="G58" s="24"/>
      <c r="H58" s="24"/>
      <c r="I58" s="25"/>
      <c r="J58" s="25"/>
      <c r="K58" s="25"/>
      <c r="L58" s="25"/>
      <c r="M58" s="20"/>
      <c r="N58" s="26"/>
      <c r="O58" s="20"/>
      <c r="P58" s="20"/>
      <c r="Q58" s="20"/>
      <c r="R58" s="20"/>
      <c r="S58" s="20"/>
      <c r="T58" s="20"/>
      <c r="U58" s="20"/>
      <c r="V58" s="20"/>
      <c r="W58" s="20"/>
      <c r="X58" s="20"/>
      <c r="Y58" s="20"/>
      <c r="Z58" s="20"/>
      <c r="AA58" s="20"/>
    </row>
    <row r="59" spans="3:27" ht="19" outlineLevel="1" x14ac:dyDescent="0.35">
      <c r="C59" s="23"/>
      <c r="D59" s="23"/>
      <c r="E59" s="24"/>
      <c r="F59" s="24"/>
      <c r="G59" s="24"/>
      <c r="H59" s="22" t="s">
        <v>74</v>
      </c>
      <c r="I59" s="22" t="s">
        <v>42</v>
      </c>
      <c r="J59" s="19" t="s">
        <v>26</v>
      </c>
      <c r="K59" s="25"/>
      <c r="L59" s="25"/>
      <c r="M59" s="20"/>
      <c r="N59" s="26"/>
      <c r="O59" s="20"/>
      <c r="P59" s="20"/>
      <c r="Q59" s="20"/>
      <c r="R59" s="20"/>
      <c r="S59" s="20"/>
      <c r="T59" s="20"/>
      <c r="U59" s="20"/>
      <c r="V59" s="20"/>
      <c r="W59" s="20"/>
      <c r="X59" s="20"/>
      <c r="Y59" s="20"/>
      <c r="Z59" s="20"/>
      <c r="AA59" s="20"/>
    </row>
    <row r="60" spans="3:27" ht="5" customHeight="1" outlineLevel="1" x14ac:dyDescent="0.35">
      <c r="C60" s="23"/>
      <c r="D60" s="23"/>
      <c r="E60" s="24"/>
      <c r="F60" s="24"/>
      <c r="G60" s="24"/>
      <c r="H60" s="22"/>
      <c r="I60" s="22"/>
      <c r="J60" s="19"/>
      <c r="K60" s="25"/>
      <c r="L60" s="25"/>
      <c r="M60" s="20"/>
      <c r="N60" s="26"/>
      <c r="O60" s="20"/>
      <c r="P60" s="20"/>
      <c r="Q60" s="20"/>
      <c r="R60" s="20"/>
      <c r="S60" s="20"/>
      <c r="T60" s="20"/>
      <c r="U60" s="20"/>
      <c r="V60" s="20"/>
      <c r="W60" s="20"/>
      <c r="X60" s="20"/>
      <c r="Y60" s="20"/>
      <c r="Z60" s="20"/>
      <c r="AA60" s="20"/>
    </row>
    <row r="61" spans="3:27" ht="17" x14ac:dyDescent="0.2">
      <c r="C61" s="49" t="s">
        <v>75</v>
      </c>
      <c r="D61" s="69"/>
      <c r="E61" s="50"/>
      <c r="F61" s="51"/>
      <c r="G61" s="51"/>
      <c r="H61" s="52">
        <f>N44</f>
        <v>1177601.32</v>
      </c>
      <c r="I61" s="52">
        <f>SUMPRODUCT(I5:I34,$N$5:$N$34)</f>
        <v>2586708.2336173481</v>
      </c>
      <c r="J61" s="52">
        <f>SUMPRODUCT(J5:J34,$N$5:$N$34)</f>
        <v>3598282.0901303254</v>
      </c>
      <c r="K61" s="50"/>
      <c r="L61" s="53"/>
      <c r="M61" s="20"/>
      <c r="N61" s="26"/>
      <c r="O61" s="20"/>
      <c r="P61" s="20"/>
      <c r="Q61" s="20"/>
      <c r="R61" s="20"/>
      <c r="S61" s="20"/>
      <c r="T61" s="20"/>
      <c r="U61" s="20"/>
      <c r="V61" s="20"/>
      <c r="W61" s="20"/>
      <c r="X61" s="20"/>
      <c r="Y61" s="20"/>
      <c r="Z61" s="20"/>
      <c r="AA61" s="20"/>
    </row>
    <row r="62" spans="3:27" x14ac:dyDescent="0.2">
      <c r="C62" s="20"/>
      <c r="D62" s="20"/>
      <c r="E62" s="20"/>
      <c r="F62" s="24"/>
      <c r="G62" s="24"/>
      <c r="H62" s="24"/>
      <c r="I62" s="54"/>
      <c r="J62" s="20"/>
      <c r="K62" s="20"/>
      <c r="L62" s="20"/>
      <c r="M62" s="20"/>
      <c r="N62" s="26"/>
      <c r="O62" s="20"/>
      <c r="P62" s="20"/>
      <c r="Q62" s="20"/>
      <c r="R62" s="20"/>
      <c r="S62" s="20"/>
      <c r="T62" s="20"/>
      <c r="U62" s="20"/>
      <c r="V62" s="20"/>
      <c r="W62" s="20"/>
      <c r="X62" s="20"/>
      <c r="Y62" s="20"/>
      <c r="Z62" s="20"/>
      <c r="AA62" s="20"/>
    </row>
    <row r="63" spans="3:27" x14ac:dyDescent="0.2">
      <c r="C63" s="20" t="s">
        <v>89</v>
      </c>
      <c r="D63" s="20"/>
      <c r="E63" s="20"/>
      <c r="F63" s="24"/>
      <c r="G63" s="24"/>
      <c r="H63" s="24"/>
      <c r="I63" s="20"/>
      <c r="J63" s="20"/>
      <c r="K63" s="20"/>
      <c r="L63" s="20"/>
      <c r="M63" s="20"/>
      <c r="N63" s="26"/>
      <c r="O63" s="20"/>
      <c r="P63" s="20"/>
      <c r="Q63" s="20"/>
      <c r="R63" s="20"/>
      <c r="S63" s="20"/>
      <c r="T63" s="20"/>
      <c r="U63" s="20"/>
      <c r="V63" s="20"/>
      <c r="W63" s="20"/>
      <c r="X63" s="20"/>
      <c r="Y63" s="20"/>
      <c r="Z63" s="20"/>
      <c r="AA63" s="20"/>
    </row>
    <row r="64" spans="3:27" x14ac:dyDescent="0.2">
      <c r="F64" s="3"/>
      <c r="G64" s="3"/>
      <c r="H64" s="3"/>
      <c r="N64" s="5"/>
    </row>
    <row r="65" spans="6:14" x14ac:dyDescent="0.2">
      <c r="F65" s="2"/>
      <c r="G65" s="2"/>
      <c r="H65" s="2"/>
      <c r="N65" s="5"/>
    </row>
    <row r="66" spans="6:14" x14ac:dyDescent="0.2">
      <c r="F66" s="2"/>
      <c r="G66" s="2"/>
      <c r="H66" s="2"/>
      <c r="N66" s="5"/>
    </row>
  </sheetData>
  <conditionalFormatting sqref="I5:J40 I44:J58 I56:L57 I62:J69">
    <cfRule type="containsBlanks" priority="13" stopIfTrue="1">
      <formula>LEN(TRIM(I5))=0</formula>
    </cfRule>
    <cfRule type="cellIs" dxfId="17" priority="22" stopIfTrue="1" operator="greaterThan">
      <formula>1</formula>
    </cfRule>
  </conditionalFormatting>
  <conditionalFormatting sqref="I56:L57 I5:J40 I44:J58 I62:J69">
    <cfRule type="cellIs" dxfId="16" priority="21" stopIfTrue="1" operator="lessThan">
      <formula>1</formula>
    </cfRule>
  </conditionalFormatting>
  <conditionalFormatting sqref="K5:L40 K44:L69">
    <cfRule type="cellIs" dxfId="15" priority="20" stopIfTrue="1" operator="lessThan">
      <formula>0</formula>
    </cfRule>
  </conditionalFormatting>
  <conditionalFormatting sqref="K44:L69 K5:L40">
    <cfRule type="cellIs" dxfId="14" priority="14" stopIfTrue="1" operator="greaterThan">
      <formula>0.0001</formula>
    </cfRule>
  </conditionalFormatting>
  <conditionalFormatting sqref="AE45:AF45">
    <cfRule type="containsBlanks" priority="10" stopIfTrue="1">
      <formula>LEN(TRIM(AE45))=0</formula>
    </cfRule>
    <cfRule type="cellIs" dxfId="13" priority="11" stopIfTrue="1" operator="lessThan">
      <formula>1</formula>
    </cfRule>
    <cfRule type="cellIs" dxfId="12" priority="12" stopIfTrue="1" operator="greaterThan">
      <formula>1</formula>
    </cfRule>
  </conditionalFormatting>
  <conditionalFormatting sqref="AJ45:AK45">
    <cfRule type="containsBlanks" priority="4" stopIfTrue="1">
      <formula>LEN(TRIM(AJ45))=0</formula>
    </cfRule>
    <cfRule type="cellIs" dxfId="11" priority="5" stopIfTrue="1" operator="lessThan">
      <formula>1</formula>
    </cfRule>
    <cfRule type="cellIs" dxfId="10" priority="6" stopIfTrue="1" operator="greaterThan">
      <formula>1</formula>
    </cfRule>
  </conditionalFormatting>
  <conditionalFormatting sqref="AO45:AP45">
    <cfRule type="containsBlanks" priority="1" stopIfTrue="1">
      <formula>LEN(TRIM(AO45))=0</formula>
    </cfRule>
    <cfRule type="cellIs" dxfId="9" priority="2" stopIfTrue="1" operator="lessThan">
      <formula>1</formula>
    </cfRule>
    <cfRule type="cellIs" dxfId="8" priority="3" stopIfTrue="1" operator="greaterThan">
      <formula>1</formula>
    </cfRule>
  </conditionalFormatting>
  <pageMargins left="0.7" right="0.7" top="0.75" bottom="0.75" header="0.3" footer="0.3"/>
  <ignoredErrors>
    <ignoredError sqref="T6:T3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197A-1F44-C743-8B5F-F03CC0EE914E}">
  <dimension ref="A2:AF168"/>
  <sheetViews>
    <sheetView showGridLines="0" tabSelected="1" zoomScale="90" zoomScaleNormal="60" workbookViewId="0">
      <pane xSplit="3" ySplit="4" topLeftCell="G5" activePane="bottomRight" state="frozen"/>
      <selection activeCell="H1" sqref="H1"/>
      <selection pane="topRight" activeCell="K1" sqref="K1"/>
      <selection pane="bottomLeft" activeCell="H5" sqref="H5"/>
      <selection pane="bottomRight" activeCell="P22" sqref="P22:P29"/>
    </sheetView>
  </sheetViews>
  <sheetFormatPr baseColWidth="10" defaultRowHeight="14" outlineLevelCol="1" x14ac:dyDescent="0.15"/>
  <cols>
    <col min="1" max="1" width="8.1640625" style="74" customWidth="1" outlineLevel="1"/>
    <col min="2" max="2" width="4" style="74" customWidth="1"/>
    <col min="3" max="3" width="23" style="74" customWidth="1"/>
    <col min="4" max="4" width="5.1640625" style="74" customWidth="1"/>
    <col min="5" max="5" width="58.6640625" style="74" customWidth="1"/>
    <col min="6" max="6" width="27.1640625" style="74" customWidth="1"/>
    <col min="7" max="7" width="45.33203125" style="74" customWidth="1"/>
    <col min="8" max="8" width="20" style="74" customWidth="1"/>
    <col min="9" max="9" width="11.6640625" style="74" customWidth="1"/>
    <col min="10" max="10" width="13.5" style="74" customWidth="1"/>
    <col min="11" max="11" width="11.1640625" style="74" customWidth="1"/>
    <col min="12" max="12" width="13.5" style="74" customWidth="1"/>
    <col min="13" max="13" width="15.83203125" style="74" customWidth="1"/>
    <col min="14" max="15" width="10.83203125" style="74"/>
    <col min="16" max="18" width="11.6640625" style="74" customWidth="1"/>
    <col min="19" max="20" width="11.83203125" style="74" customWidth="1"/>
    <col min="21" max="21" width="14.83203125" style="74" hidden="1" customWidth="1" outlineLevel="1"/>
    <col min="22" max="22" width="11.1640625" style="74" hidden="1" customWidth="1" outlineLevel="1"/>
    <col min="23" max="23" width="17.83203125" style="74" hidden="1" customWidth="1" outlineLevel="1"/>
    <col min="24" max="24" width="10.83203125" style="74" hidden="1" customWidth="1" outlineLevel="1"/>
    <col min="25" max="28" width="12.83203125" style="74" hidden="1" customWidth="1" outlineLevel="1"/>
    <col min="29" max="29" width="6.5" style="74" hidden="1" customWidth="1" outlineLevel="1"/>
    <col min="30" max="30" width="18" style="74" hidden="1" customWidth="1" outlineLevel="1"/>
    <col min="31" max="31" width="12.83203125" style="74" customWidth="1" collapsed="1"/>
    <col min="32" max="32" width="6.5" style="74" customWidth="1"/>
    <col min="33" max="16384" width="10.83203125" style="74"/>
  </cols>
  <sheetData>
    <row r="2" spans="1:32" ht="17" x14ac:dyDescent="0.3">
      <c r="C2" s="75" t="s">
        <v>199</v>
      </c>
      <c r="D2" s="75"/>
      <c r="E2" s="75"/>
      <c r="F2" s="75"/>
      <c r="G2" s="75"/>
      <c r="H2" s="75"/>
      <c r="I2" s="75"/>
      <c r="J2" s="75"/>
      <c r="K2" s="75"/>
      <c r="L2" s="75"/>
      <c r="M2" s="75"/>
      <c r="N2" s="75"/>
      <c r="O2" s="75"/>
      <c r="P2" s="75"/>
      <c r="Q2" s="75"/>
      <c r="R2" s="75"/>
      <c r="S2" s="75"/>
      <c r="T2" s="75"/>
      <c r="U2" s="75"/>
      <c r="V2" s="75"/>
      <c r="W2" s="75"/>
      <c r="X2" s="75"/>
      <c r="Y2" s="75"/>
      <c r="Z2" s="75"/>
      <c r="AA2" s="75"/>
      <c r="AB2" s="75"/>
    </row>
    <row r="3" spans="1:32" ht="18" x14ac:dyDescent="0.3">
      <c r="C3" s="76" t="s">
        <v>50</v>
      </c>
      <c r="D3" s="76"/>
      <c r="E3" s="76"/>
      <c r="F3" s="76"/>
      <c r="G3" s="76"/>
      <c r="H3" s="76"/>
      <c r="I3" s="77" t="s">
        <v>25</v>
      </c>
      <c r="J3" s="77"/>
      <c r="K3" s="77"/>
      <c r="L3" s="77"/>
      <c r="M3" s="76"/>
      <c r="N3" s="77" t="s">
        <v>90</v>
      </c>
      <c r="O3" s="77"/>
      <c r="P3" s="164" t="s">
        <v>210</v>
      </c>
      <c r="Q3"/>
      <c r="R3"/>
      <c r="S3" s="77"/>
      <c r="T3" s="77"/>
      <c r="U3" s="78"/>
      <c r="V3" s="77" t="s">
        <v>37</v>
      </c>
      <c r="W3" s="77"/>
      <c r="X3" s="78"/>
      <c r="Y3" s="77" t="s">
        <v>40</v>
      </c>
      <c r="Z3" s="77"/>
      <c r="AA3" s="77" t="s">
        <v>43</v>
      </c>
      <c r="AB3" s="77"/>
      <c r="AD3" s="77" t="s">
        <v>186</v>
      </c>
    </row>
    <row r="4" spans="1:32" ht="17" x14ac:dyDescent="0.3">
      <c r="A4" s="79" t="s">
        <v>211</v>
      </c>
      <c r="B4" s="80"/>
      <c r="C4" s="81" t="s">
        <v>44</v>
      </c>
      <c r="D4" s="81"/>
      <c r="E4" s="81" t="s">
        <v>110</v>
      </c>
      <c r="F4" s="81" t="s">
        <v>127</v>
      </c>
      <c r="G4" s="81" t="s">
        <v>125</v>
      </c>
      <c r="H4" s="81" t="s">
        <v>109</v>
      </c>
      <c r="I4" s="79" t="s">
        <v>102</v>
      </c>
      <c r="J4" s="79" t="s">
        <v>105</v>
      </c>
      <c r="K4" s="77" t="s">
        <v>126</v>
      </c>
      <c r="L4" s="79" t="s">
        <v>108</v>
      </c>
      <c r="M4" s="79" t="s">
        <v>97</v>
      </c>
      <c r="N4" s="77" t="s">
        <v>25</v>
      </c>
      <c r="O4" s="162">
        <v>45900</v>
      </c>
      <c r="P4" s="77" t="s">
        <v>209</v>
      </c>
      <c r="Q4" s="77" t="s">
        <v>148</v>
      </c>
      <c r="R4" s="77" t="s">
        <v>184</v>
      </c>
      <c r="S4" s="77" t="s">
        <v>208</v>
      </c>
      <c r="T4" s="77" t="s">
        <v>185</v>
      </c>
      <c r="U4" s="78"/>
      <c r="V4" s="77" t="s">
        <v>36</v>
      </c>
      <c r="W4" s="77" t="s">
        <v>78</v>
      </c>
      <c r="X4" s="78"/>
      <c r="Y4" s="77" t="s">
        <v>25</v>
      </c>
      <c r="Z4" s="83">
        <f>$O$4</f>
        <v>45900</v>
      </c>
      <c r="AA4" s="77" t="s">
        <v>25</v>
      </c>
      <c r="AB4" s="83">
        <f>Z4</f>
        <v>45900</v>
      </c>
      <c r="AC4" s="147"/>
      <c r="AD4" s="82">
        <f>$O$4</f>
        <v>45900</v>
      </c>
      <c r="AE4" s="147"/>
      <c r="AF4" s="147"/>
    </row>
    <row r="5" spans="1:32" ht="15" customHeight="1" x14ac:dyDescent="0.15">
      <c r="A5" s="165">
        <v>1</v>
      </c>
      <c r="B5" s="80"/>
      <c r="C5" s="84" t="s">
        <v>28</v>
      </c>
      <c r="D5" s="84"/>
      <c r="E5" s="84" t="s">
        <v>111</v>
      </c>
      <c r="F5" s="84" t="s">
        <v>128</v>
      </c>
      <c r="G5" s="84" t="s">
        <v>164</v>
      </c>
      <c r="H5" s="84" t="s">
        <v>170</v>
      </c>
      <c r="I5" s="85">
        <f t="shared" ref="I5:I28" si="0">Y5</f>
        <v>43905</v>
      </c>
      <c r="J5" s="85" t="s">
        <v>103</v>
      </c>
      <c r="K5" s="86">
        <v>171734.12</v>
      </c>
      <c r="L5" s="87">
        <f t="shared" ref="L5:L27" si="1">W5</f>
        <v>0.17902507366715992</v>
      </c>
      <c r="M5" s="88" t="s">
        <v>98</v>
      </c>
      <c r="N5" s="89">
        <v>244</v>
      </c>
      <c r="O5" s="89">
        <v>10600</v>
      </c>
      <c r="P5" s="90">
        <f t="shared" ref="P5:P29" si="2">O5/$N5</f>
        <v>43.442622950819676</v>
      </c>
      <c r="Q5" s="91">
        <f>1-(7.9/(5300/244))*(1-600/10600)</f>
        <v>0.65688857244571031</v>
      </c>
      <c r="R5" s="91">
        <v>0</v>
      </c>
      <c r="S5" s="90">
        <f t="shared" ref="S5:S29" si="3">IF($A5=0,"N/A",O5/$N5*(1-Q5)-(AD5-1)*R5)</f>
        <v>14.905660377358489</v>
      </c>
      <c r="T5" s="92">
        <f t="shared" ref="T5:T26" si="4">IF($A5=0,"N/A",IFERROR(XIRR(AA5:AB5,Y5:Z5),-1))</f>
        <v>0.6393560230731965</v>
      </c>
      <c r="U5" s="93"/>
      <c r="V5" s="86">
        <f t="shared" ref="V5:V29" si="5">IF(A5=0,0,K5)</f>
        <v>171734.12</v>
      </c>
      <c r="W5" s="87">
        <f t="shared" ref="W5:W29" si="6">V5/$V$33</f>
        <v>0.17902507366715992</v>
      </c>
      <c r="X5" s="89"/>
      <c r="Y5" s="94">
        <v>43905</v>
      </c>
      <c r="Z5" s="95">
        <f t="shared" ref="Z5:Z29" si="7">$Z$4</f>
        <v>45900</v>
      </c>
      <c r="AA5" s="96">
        <f t="shared" ref="AA5:AA29" si="8">-$V5</f>
        <v>-171734.12</v>
      </c>
      <c r="AB5" s="96">
        <f t="shared" ref="AB5:AB29" si="9">IFERROR(-$AA5*S5,0)</f>
        <v>2559810.4679245278</v>
      </c>
      <c r="AD5" s="90">
        <f t="shared" ref="AD5:AD29" si="10">IF($A5=0,"N/A",O5/$N5*(1-Q5))</f>
        <v>14.905660377358489</v>
      </c>
    </row>
    <row r="6" spans="1:32" ht="15" customHeight="1" x14ac:dyDescent="0.15">
      <c r="A6" s="165">
        <v>1</v>
      </c>
      <c r="B6" s="80"/>
      <c r="C6" s="84" t="s">
        <v>23</v>
      </c>
      <c r="D6" s="84"/>
      <c r="E6" s="84" t="s">
        <v>114</v>
      </c>
      <c r="F6" s="84" t="s">
        <v>129</v>
      </c>
      <c r="G6" s="84" t="s">
        <v>140</v>
      </c>
      <c r="H6" s="84" t="s">
        <v>168</v>
      </c>
      <c r="I6" s="85">
        <f t="shared" si="0"/>
        <v>44378</v>
      </c>
      <c r="J6" s="85" t="s">
        <v>106</v>
      </c>
      <c r="K6" s="86">
        <v>62500</v>
      </c>
      <c r="L6" s="87">
        <f t="shared" si="1"/>
        <v>6.5153430804533743E-2</v>
      </c>
      <c r="M6" s="88" t="s">
        <v>98</v>
      </c>
      <c r="N6" s="89">
        <v>10</v>
      </c>
      <c r="O6" s="89">
        <v>47</v>
      </c>
      <c r="P6" s="90">
        <f t="shared" si="2"/>
        <v>4.7</v>
      </c>
      <c r="Q6" s="91">
        <v>0</v>
      </c>
      <c r="R6" s="91">
        <v>0</v>
      </c>
      <c r="S6" s="90">
        <f t="shared" si="3"/>
        <v>4.7</v>
      </c>
      <c r="T6" s="92">
        <f t="shared" si="4"/>
        <v>0.44937191605567928</v>
      </c>
      <c r="U6" s="93"/>
      <c r="V6" s="86">
        <f t="shared" si="5"/>
        <v>62500</v>
      </c>
      <c r="W6" s="87">
        <f t="shared" si="6"/>
        <v>6.5153430804533743E-2</v>
      </c>
      <c r="X6" s="89"/>
      <c r="Y6" s="94">
        <v>44378</v>
      </c>
      <c r="Z6" s="95">
        <f t="shared" si="7"/>
        <v>45900</v>
      </c>
      <c r="AA6" s="96">
        <f t="shared" si="8"/>
        <v>-62500</v>
      </c>
      <c r="AB6" s="96">
        <f t="shared" si="9"/>
        <v>293750</v>
      </c>
      <c r="AD6" s="90">
        <f t="shared" si="10"/>
        <v>4.7</v>
      </c>
    </row>
    <row r="7" spans="1:32" ht="15" customHeight="1" x14ac:dyDescent="0.15">
      <c r="A7" s="165">
        <v>1</v>
      </c>
      <c r="B7" s="80"/>
      <c r="C7" s="84" t="s">
        <v>2</v>
      </c>
      <c r="D7" s="84"/>
      <c r="E7" s="84" t="s">
        <v>112</v>
      </c>
      <c r="F7" s="84" t="s">
        <v>131</v>
      </c>
      <c r="G7" s="84" t="s">
        <v>153</v>
      </c>
      <c r="H7" s="84" t="s">
        <v>170</v>
      </c>
      <c r="I7" s="85">
        <f t="shared" si="0"/>
        <v>44792</v>
      </c>
      <c r="J7" s="85" t="s">
        <v>107</v>
      </c>
      <c r="K7" s="86">
        <v>45000</v>
      </c>
      <c r="L7" s="87">
        <f t="shared" si="1"/>
        <v>4.6910470179264294E-2</v>
      </c>
      <c r="M7" s="88" t="s">
        <v>98</v>
      </c>
      <c r="N7" s="89">
        <v>22</v>
      </c>
      <c r="O7" s="89">
        <v>0</v>
      </c>
      <c r="P7" s="90">
        <f t="shared" si="2"/>
        <v>0</v>
      </c>
      <c r="Q7" s="91">
        <v>0</v>
      </c>
      <c r="R7" s="91">
        <v>0</v>
      </c>
      <c r="S7" s="90">
        <f t="shared" si="3"/>
        <v>0</v>
      </c>
      <c r="T7" s="92">
        <f t="shared" si="4"/>
        <v>-1</v>
      </c>
      <c r="U7" s="93"/>
      <c r="V7" s="86">
        <f t="shared" si="5"/>
        <v>45000</v>
      </c>
      <c r="W7" s="87">
        <f t="shared" si="6"/>
        <v>4.6910470179264294E-2</v>
      </c>
      <c r="X7" s="89"/>
      <c r="Y7" s="94">
        <v>44792</v>
      </c>
      <c r="Z7" s="95">
        <f t="shared" si="7"/>
        <v>45900</v>
      </c>
      <c r="AA7" s="96">
        <f t="shared" si="8"/>
        <v>-45000</v>
      </c>
      <c r="AB7" s="96">
        <f t="shared" si="9"/>
        <v>0</v>
      </c>
      <c r="AD7" s="90">
        <f t="shared" si="10"/>
        <v>0</v>
      </c>
    </row>
    <row r="8" spans="1:32" ht="15" customHeight="1" x14ac:dyDescent="0.15">
      <c r="A8" s="165">
        <v>1</v>
      </c>
      <c r="B8" s="80"/>
      <c r="C8" s="84" t="s">
        <v>4</v>
      </c>
      <c r="D8" s="84"/>
      <c r="E8" s="84" t="s">
        <v>113</v>
      </c>
      <c r="F8" s="84" t="s">
        <v>132</v>
      </c>
      <c r="G8" s="84" t="s">
        <v>165</v>
      </c>
      <c r="H8" s="84" t="s">
        <v>168</v>
      </c>
      <c r="I8" s="85">
        <f t="shared" si="0"/>
        <v>44819</v>
      </c>
      <c r="J8" s="85" t="s">
        <v>107</v>
      </c>
      <c r="K8" s="86">
        <v>17000</v>
      </c>
      <c r="L8" s="87">
        <f t="shared" si="1"/>
        <v>1.7721733178833177E-2</v>
      </c>
      <c r="M8" s="88" t="s">
        <v>98</v>
      </c>
      <c r="N8" s="89">
        <v>12</v>
      </c>
      <c r="O8" s="89">
        <v>25</v>
      </c>
      <c r="P8" s="90">
        <f t="shared" si="2"/>
        <v>2.0833333333333335</v>
      </c>
      <c r="Q8" s="91">
        <v>0</v>
      </c>
      <c r="R8" s="91">
        <v>0</v>
      </c>
      <c r="S8" s="90">
        <f t="shared" si="3"/>
        <v>2.0833333333333335</v>
      </c>
      <c r="T8" s="92">
        <f t="shared" si="4"/>
        <v>0.28123560547828674</v>
      </c>
      <c r="U8" s="93"/>
      <c r="V8" s="86">
        <f t="shared" si="5"/>
        <v>17000</v>
      </c>
      <c r="W8" s="87">
        <f t="shared" si="6"/>
        <v>1.7721733178833177E-2</v>
      </c>
      <c r="X8" s="89"/>
      <c r="Y8" s="94">
        <v>44819</v>
      </c>
      <c r="Z8" s="95">
        <f t="shared" si="7"/>
        <v>45900</v>
      </c>
      <c r="AA8" s="96">
        <f t="shared" si="8"/>
        <v>-17000</v>
      </c>
      <c r="AB8" s="96">
        <f t="shared" si="9"/>
        <v>35416.666666666672</v>
      </c>
      <c r="AD8" s="90">
        <f t="shared" si="10"/>
        <v>2.0833333333333335</v>
      </c>
    </row>
    <row r="9" spans="1:32" ht="15" customHeight="1" x14ac:dyDescent="0.15">
      <c r="A9" s="165">
        <v>1</v>
      </c>
      <c r="B9" s="80"/>
      <c r="C9" s="84" t="s">
        <v>149</v>
      </c>
      <c r="D9" s="84"/>
      <c r="E9" s="84" t="s">
        <v>150</v>
      </c>
      <c r="F9" s="84" t="s">
        <v>178</v>
      </c>
      <c r="G9" s="84" t="s">
        <v>177</v>
      </c>
      <c r="H9" s="84" t="s">
        <v>170</v>
      </c>
      <c r="I9" s="85">
        <f t="shared" si="0"/>
        <v>44819</v>
      </c>
      <c r="J9" s="85" t="s">
        <v>104</v>
      </c>
      <c r="K9" s="86">
        <v>2000</v>
      </c>
      <c r="L9" s="87">
        <f t="shared" si="1"/>
        <v>2.0849097857450799E-3</v>
      </c>
      <c r="M9" s="88" t="s">
        <v>98</v>
      </c>
      <c r="N9" s="89">
        <v>260</v>
      </c>
      <c r="O9" s="89">
        <f>N9</f>
        <v>260</v>
      </c>
      <c r="P9" s="90">
        <f t="shared" si="2"/>
        <v>1</v>
      </c>
      <c r="Q9" s="91">
        <v>0</v>
      </c>
      <c r="R9" s="91">
        <v>0.2</v>
      </c>
      <c r="S9" s="90">
        <f t="shared" si="3"/>
        <v>1</v>
      </c>
      <c r="T9" s="92">
        <f t="shared" si="4"/>
        <v>2.9802322387695314E-9</v>
      </c>
      <c r="U9" s="93"/>
      <c r="V9" s="86">
        <f t="shared" si="5"/>
        <v>2000</v>
      </c>
      <c r="W9" s="87">
        <f t="shared" si="6"/>
        <v>2.0849097857450799E-3</v>
      </c>
      <c r="X9" s="89"/>
      <c r="Y9" s="94">
        <v>44819</v>
      </c>
      <c r="Z9" s="95">
        <f t="shared" si="7"/>
        <v>45900</v>
      </c>
      <c r="AA9" s="96">
        <f t="shared" si="8"/>
        <v>-2000</v>
      </c>
      <c r="AB9" s="96">
        <f t="shared" si="9"/>
        <v>2000</v>
      </c>
      <c r="AD9" s="90">
        <f t="shared" si="10"/>
        <v>1</v>
      </c>
    </row>
    <row r="10" spans="1:32" ht="15" customHeight="1" x14ac:dyDescent="0.15">
      <c r="A10" s="165">
        <v>1</v>
      </c>
      <c r="B10" s="80"/>
      <c r="C10" s="84" t="s">
        <v>5</v>
      </c>
      <c r="D10" s="84"/>
      <c r="E10" s="84" t="s">
        <v>115</v>
      </c>
      <c r="F10" s="84" t="s">
        <v>131</v>
      </c>
      <c r="G10" s="84" t="s">
        <v>135</v>
      </c>
      <c r="H10" s="84" t="s">
        <v>175</v>
      </c>
      <c r="I10" s="85">
        <f t="shared" si="0"/>
        <v>44883</v>
      </c>
      <c r="J10" s="85" t="s">
        <v>107</v>
      </c>
      <c r="K10" s="86">
        <v>10000</v>
      </c>
      <c r="L10" s="87">
        <f t="shared" si="1"/>
        <v>1.0424548928725399E-2</v>
      </c>
      <c r="M10" s="88" t="s">
        <v>98</v>
      </c>
      <c r="N10" s="89">
        <v>40</v>
      </c>
      <c r="O10" s="89">
        <v>75.5</v>
      </c>
      <c r="P10" s="90">
        <f t="shared" si="2"/>
        <v>1.8875</v>
      </c>
      <c r="Q10" s="91">
        <f>15.5/75.5</f>
        <v>0.20529801324503311</v>
      </c>
      <c r="R10" s="91">
        <v>0</v>
      </c>
      <c r="S10" s="90">
        <f t="shared" si="3"/>
        <v>1.5</v>
      </c>
      <c r="T10" s="92">
        <f t="shared" si="4"/>
        <v>0.1566419184207917</v>
      </c>
      <c r="U10" s="93"/>
      <c r="V10" s="86">
        <f t="shared" si="5"/>
        <v>10000</v>
      </c>
      <c r="W10" s="87">
        <f t="shared" si="6"/>
        <v>1.0424548928725399E-2</v>
      </c>
      <c r="X10" s="89"/>
      <c r="Y10" s="94">
        <v>44883</v>
      </c>
      <c r="Z10" s="95">
        <f t="shared" si="7"/>
        <v>45900</v>
      </c>
      <c r="AA10" s="96">
        <f t="shared" si="8"/>
        <v>-10000</v>
      </c>
      <c r="AB10" s="96">
        <f t="shared" si="9"/>
        <v>15000</v>
      </c>
      <c r="AD10" s="90">
        <f t="shared" si="10"/>
        <v>1.5</v>
      </c>
    </row>
    <row r="11" spans="1:32" ht="15" customHeight="1" x14ac:dyDescent="0.15">
      <c r="A11" s="165">
        <v>1</v>
      </c>
      <c r="B11" s="80"/>
      <c r="C11" s="84" t="s">
        <v>8</v>
      </c>
      <c r="D11" s="84"/>
      <c r="E11" s="84" t="s">
        <v>116</v>
      </c>
      <c r="F11" s="84" t="s">
        <v>129</v>
      </c>
      <c r="G11" s="84" t="s">
        <v>136</v>
      </c>
      <c r="H11" s="84" t="s">
        <v>168</v>
      </c>
      <c r="I11" s="85">
        <f t="shared" si="0"/>
        <v>44930</v>
      </c>
      <c r="J11" s="85" t="s">
        <v>107</v>
      </c>
      <c r="K11" s="86">
        <v>15000</v>
      </c>
      <c r="L11" s="87">
        <f t="shared" si="1"/>
        <v>1.5636823393088098E-2</v>
      </c>
      <c r="M11" s="88" t="s">
        <v>98</v>
      </c>
      <c r="N11" s="89">
        <v>25</v>
      </c>
      <c r="O11" s="89">
        <v>0</v>
      </c>
      <c r="P11" s="90">
        <f t="shared" si="2"/>
        <v>0</v>
      </c>
      <c r="Q11" s="91">
        <v>0</v>
      </c>
      <c r="R11" s="91">
        <v>0</v>
      </c>
      <c r="S11" s="90">
        <f t="shared" si="3"/>
        <v>0</v>
      </c>
      <c r="T11" s="92">
        <f t="shared" si="4"/>
        <v>-1</v>
      </c>
      <c r="U11" s="93"/>
      <c r="V11" s="86">
        <f t="shared" si="5"/>
        <v>15000</v>
      </c>
      <c r="W11" s="87">
        <f t="shared" si="6"/>
        <v>1.5636823393088098E-2</v>
      </c>
      <c r="X11" s="89"/>
      <c r="Y11" s="94">
        <v>44930</v>
      </c>
      <c r="Z11" s="95">
        <f t="shared" si="7"/>
        <v>45900</v>
      </c>
      <c r="AA11" s="96">
        <f t="shared" si="8"/>
        <v>-15000</v>
      </c>
      <c r="AB11" s="96">
        <f t="shared" si="9"/>
        <v>0</v>
      </c>
      <c r="AD11" s="90">
        <f t="shared" si="10"/>
        <v>0</v>
      </c>
    </row>
    <row r="12" spans="1:32" ht="15" customHeight="1" x14ac:dyDescent="0.15">
      <c r="A12" s="165">
        <v>1</v>
      </c>
      <c r="B12" s="80"/>
      <c r="C12" s="84" t="s">
        <v>151</v>
      </c>
      <c r="D12" s="84"/>
      <c r="E12" s="84" t="s">
        <v>119</v>
      </c>
      <c r="F12" s="84" t="s">
        <v>130</v>
      </c>
      <c r="G12" s="84" t="s">
        <v>137</v>
      </c>
      <c r="H12" s="84" t="s">
        <v>169</v>
      </c>
      <c r="I12" s="85">
        <f t="shared" si="0"/>
        <v>44964</v>
      </c>
      <c r="J12" s="85" t="s">
        <v>103</v>
      </c>
      <c r="K12" s="86">
        <v>50000</v>
      </c>
      <c r="L12" s="87">
        <f t="shared" si="1"/>
        <v>5.2122744643626998E-2</v>
      </c>
      <c r="M12" s="88" t="s">
        <v>98</v>
      </c>
      <c r="N12" s="89">
        <v>120</v>
      </c>
      <c r="O12" s="89">
        <v>220</v>
      </c>
      <c r="P12" s="90">
        <f t="shared" si="2"/>
        <v>1.8333333333333333</v>
      </c>
      <c r="Q12" s="91">
        <v>0</v>
      </c>
      <c r="R12" s="91">
        <v>0</v>
      </c>
      <c r="S12" s="90">
        <f t="shared" si="3"/>
        <v>1.8333333333333333</v>
      </c>
      <c r="T12" s="92">
        <f t="shared" si="4"/>
        <v>0.26663915514945991</v>
      </c>
      <c r="U12" s="93"/>
      <c r="V12" s="86">
        <f t="shared" si="5"/>
        <v>50000</v>
      </c>
      <c r="W12" s="87">
        <f t="shared" si="6"/>
        <v>5.2122744643626998E-2</v>
      </c>
      <c r="X12" s="89"/>
      <c r="Y12" s="94">
        <v>44964</v>
      </c>
      <c r="Z12" s="95">
        <f t="shared" si="7"/>
        <v>45900</v>
      </c>
      <c r="AA12" s="96">
        <f t="shared" si="8"/>
        <v>-50000</v>
      </c>
      <c r="AB12" s="96">
        <f t="shared" si="9"/>
        <v>91666.666666666657</v>
      </c>
      <c r="AD12" s="90">
        <f t="shared" si="10"/>
        <v>1.8333333333333333</v>
      </c>
    </row>
    <row r="13" spans="1:32" ht="15" customHeight="1" x14ac:dyDescent="0.15">
      <c r="A13" s="165">
        <v>1</v>
      </c>
      <c r="B13" s="80"/>
      <c r="C13" s="84" t="s">
        <v>11</v>
      </c>
      <c r="D13" s="84"/>
      <c r="E13" s="84" t="s">
        <v>117</v>
      </c>
      <c r="F13" s="84" t="s">
        <v>131</v>
      </c>
      <c r="G13" s="84" t="s">
        <v>138</v>
      </c>
      <c r="H13" s="84" t="s">
        <v>176</v>
      </c>
      <c r="I13" s="85">
        <f t="shared" si="0"/>
        <v>45043</v>
      </c>
      <c r="J13" s="85" t="s">
        <v>103</v>
      </c>
      <c r="K13" s="86">
        <v>40000</v>
      </c>
      <c r="L13" s="87">
        <f t="shared" si="1"/>
        <v>4.1698195714901597E-2</v>
      </c>
      <c r="M13" s="88" t="s">
        <v>98</v>
      </c>
      <c r="N13" s="89">
        <v>420</v>
      </c>
      <c r="O13" s="89">
        <v>39500</v>
      </c>
      <c r="P13" s="90">
        <f t="shared" si="2"/>
        <v>94.047619047619051</v>
      </c>
      <c r="Q13" s="91">
        <f>675/2600</f>
        <v>0.25961538461538464</v>
      </c>
      <c r="R13" s="91">
        <v>0.2</v>
      </c>
      <c r="S13" s="90">
        <f t="shared" si="3"/>
        <v>55.905128205128207</v>
      </c>
      <c r="T13" s="92">
        <f t="shared" si="4"/>
        <v>4.5494149684906011</v>
      </c>
      <c r="U13" s="93"/>
      <c r="V13" s="86">
        <f t="shared" si="5"/>
        <v>40000</v>
      </c>
      <c r="W13" s="87">
        <f t="shared" si="6"/>
        <v>4.1698195714901597E-2</v>
      </c>
      <c r="X13" s="89"/>
      <c r="Y13" s="94">
        <v>45043</v>
      </c>
      <c r="Z13" s="95">
        <f t="shared" si="7"/>
        <v>45900</v>
      </c>
      <c r="AA13" s="96">
        <f t="shared" si="8"/>
        <v>-40000</v>
      </c>
      <c r="AB13" s="96">
        <f t="shared" si="9"/>
        <v>2236205.1282051285</v>
      </c>
      <c r="AD13" s="90">
        <f t="shared" si="10"/>
        <v>69.631410256410263</v>
      </c>
    </row>
    <row r="14" spans="1:32" ht="15" customHeight="1" x14ac:dyDescent="0.15">
      <c r="A14" s="165">
        <v>1</v>
      </c>
      <c r="B14" s="80"/>
      <c r="C14" s="84" t="s">
        <v>14</v>
      </c>
      <c r="D14" s="84"/>
      <c r="E14" s="84" t="s">
        <v>122</v>
      </c>
      <c r="F14" s="84" t="s">
        <v>133</v>
      </c>
      <c r="G14" s="84" t="s">
        <v>139</v>
      </c>
      <c r="H14" s="84" t="s">
        <v>168</v>
      </c>
      <c r="I14" s="85">
        <f t="shared" si="0"/>
        <v>45099</v>
      </c>
      <c r="J14" s="85" t="s">
        <v>103</v>
      </c>
      <c r="K14" s="86">
        <v>21000</v>
      </c>
      <c r="L14" s="87">
        <f t="shared" si="1"/>
        <v>2.189155275032334E-2</v>
      </c>
      <c r="M14" s="88" t="s">
        <v>98</v>
      </c>
      <c r="N14" s="89">
        <f>120/1.03</f>
        <v>116.50485436893203</v>
      </c>
      <c r="O14" s="89">
        <v>129.94900000000001</v>
      </c>
      <c r="P14" s="90">
        <f t="shared" si="2"/>
        <v>1.1153955833333336</v>
      </c>
      <c r="Q14" s="91">
        <v>0</v>
      </c>
      <c r="R14" s="91">
        <v>0</v>
      </c>
      <c r="S14" s="90">
        <f t="shared" si="3"/>
        <v>1.1153955833333336</v>
      </c>
      <c r="T14" s="92">
        <f t="shared" si="4"/>
        <v>5.1023504137992864E-2</v>
      </c>
      <c r="U14" s="93"/>
      <c r="V14" s="86">
        <f t="shared" si="5"/>
        <v>21000</v>
      </c>
      <c r="W14" s="87">
        <f t="shared" si="6"/>
        <v>2.189155275032334E-2</v>
      </c>
      <c r="X14" s="89"/>
      <c r="Y14" s="94">
        <v>45099</v>
      </c>
      <c r="Z14" s="95">
        <f t="shared" si="7"/>
        <v>45900</v>
      </c>
      <c r="AA14" s="96">
        <f t="shared" si="8"/>
        <v>-21000</v>
      </c>
      <c r="AB14" s="96">
        <f t="shared" si="9"/>
        <v>23423.307250000005</v>
      </c>
      <c r="AD14" s="90">
        <f t="shared" si="10"/>
        <v>1.1153955833333336</v>
      </c>
    </row>
    <row r="15" spans="1:32" ht="15" customHeight="1" x14ac:dyDescent="0.15">
      <c r="A15" s="165">
        <v>1</v>
      </c>
      <c r="B15" s="80"/>
      <c r="C15" s="84" t="s">
        <v>24</v>
      </c>
      <c r="D15" s="84"/>
      <c r="E15" s="84" t="s">
        <v>114</v>
      </c>
      <c r="F15" s="84" t="s">
        <v>129</v>
      </c>
      <c r="G15" s="84" t="s">
        <v>140</v>
      </c>
      <c r="H15" s="84" t="s">
        <v>168</v>
      </c>
      <c r="I15" s="85">
        <f t="shared" si="0"/>
        <v>45110</v>
      </c>
      <c r="J15" s="85" t="s">
        <v>107</v>
      </c>
      <c r="K15" s="86">
        <v>12000</v>
      </c>
      <c r="L15" s="87">
        <f t="shared" si="1"/>
        <v>1.2509458714470479E-2</v>
      </c>
      <c r="M15" s="88" t="s">
        <v>98</v>
      </c>
      <c r="N15" s="89">
        <v>19</v>
      </c>
      <c r="O15" s="89">
        <v>47</v>
      </c>
      <c r="P15" s="90">
        <f t="shared" si="2"/>
        <v>2.4736842105263159</v>
      </c>
      <c r="Q15" s="91">
        <v>0</v>
      </c>
      <c r="R15" s="91">
        <v>0</v>
      </c>
      <c r="S15" s="90">
        <f t="shared" si="3"/>
        <v>2.4736842105263159</v>
      </c>
      <c r="T15" s="92">
        <f t="shared" si="4"/>
        <v>0.51962001919746403</v>
      </c>
      <c r="U15" s="93"/>
      <c r="V15" s="86">
        <f t="shared" si="5"/>
        <v>12000</v>
      </c>
      <c r="W15" s="87">
        <f t="shared" si="6"/>
        <v>1.2509458714470479E-2</v>
      </c>
      <c r="X15" s="89"/>
      <c r="Y15" s="94">
        <v>45110</v>
      </c>
      <c r="Z15" s="95">
        <f t="shared" si="7"/>
        <v>45900</v>
      </c>
      <c r="AA15" s="96">
        <f t="shared" si="8"/>
        <v>-12000</v>
      </c>
      <c r="AB15" s="96">
        <f t="shared" si="9"/>
        <v>29684.21052631579</v>
      </c>
      <c r="AD15" s="90">
        <f t="shared" si="10"/>
        <v>2.4736842105263159</v>
      </c>
    </row>
    <row r="16" spans="1:32" ht="15" customHeight="1" x14ac:dyDescent="0.15">
      <c r="A16" s="165">
        <v>1</v>
      </c>
      <c r="B16" s="80"/>
      <c r="C16" s="84" t="s">
        <v>15</v>
      </c>
      <c r="D16" s="84"/>
      <c r="E16" s="84" t="s">
        <v>120</v>
      </c>
      <c r="F16" s="84" t="s">
        <v>189</v>
      </c>
      <c r="G16" s="84" t="s">
        <v>144</v>
      </c>
      <c r="H16" s="84" t="s">
        <v>168</v>
      </c>
      <c r="I16" s="85">
        <f t="shared" si="0"/>
        <v>45135</v>
      </c>
      <c r="J16" s="85" t="s">
        <v>106</v>
      </c>
      <c r="K16" s="86">
        <v>50000</v>
      </c>
      <c r="L16" s="87">
        <f t="shared" si="1"/>
        <v>5.2122744643626998E-2</v>
      </c>
      <c r="M16" s="88" t="s">
        <v>98</v>
      </c>
      <c r="N16" s="89">
        <v>12</v>
      </c>
      <c r="O16" s="89">
        <v>107.1</v>
      </c>
      <c r="P16" s="90">
        <f t="shared" si="2"/>
        <v>8.9249999999999989</v>
      </c>
      <c r="Q16" s="91">
        <v>0</v>
      </c>
      <c r="R16" s="91">
        <v>0</v>
      </c>
      <c r="S16" s="90">
        <f t="shared" si="3"/>
        <v>8.9249999999999989</v>
      </c>
      <c r="T16" s="92">
        <f t="shared" si="4"/>
        <v>1.8415687918663028</v>
      </c>
      <c r="U16" s="93"/>
      <c r="V16" s="86">
        <f t="shared" si="5"/>
        <v>50000</v>
      </c>
      <c r="W16" s="87">
        <f t="shared" si="6"/>
        <v>5.2122744643626998E-2</v>
      </c>
      <c r="X16" s="93"/>
      <c r="Y16" s="94">
        <v>45135</v>
      </c>
      <c r="Z16" s="95">
        <f t="shared" si="7"/>
        <v>45900</v>
      </c>
      <c r="AA16" s="96">
        <f t="shared" si="8"/>
        <v>-50000</v>
      </c>
      <c r="AB16" s="96">
        <f t="shared" si="9"/>
        <v>446249.99999999994</v>
      </c>
      <c r="AD16" s="90">
        <f t="shared" si="10"/>
        <v>8.9249999999999989</v>
      </c>
    </row>
    <row r="17" spans="1:30" ht="15" customHeight="1" x14ac:dyDescent="0.15">
      <c r="A17" s="165">
        <v>1</v>
      </c>
      <c r="B17" s="80"/>
      <c r="C17" s="84" t="s">
        <v>16</v>
      </c>
      <c r="D17" s="84"/>
      <c r="E17" s="84" t="s">
        <v>167</v>
      </c>
      <c r="F17" s="84" t="s">
        <v>134</v>
      </c>
      <c r="G17" s="84" t="s">
        <v>173</v>
      </c>
      <c r="H17" s="84" t="s">
        <v>175</v>
      </c>
      <c r="I17" s="85">
        <f t="shared" si="0"/>
        <v>45259</v>
      </c>
      <c r="J17" s="85" t="s">
        <v>106</v>
      </c>
      <c r="K17" s="86">
        <v>20000</v>
      </c>
      <c r="L17" s="87">
        <f t="shared" si="1"/>
        <v>2.0849097857450798E-2</v>
      </c>
      <c r="M17" s="88" t="s">
        <v>98</v>
      </c>
      <c r="N17" s="89">
        <v>6.5</v>
      </c>
      <c r="O17" s="89">
        <v>26.5</v>
      </c>
      <c r="P17" s="90">
        <f t="shared" si="2"/>
        <v>4.0769230769230766</v>
      </c>
      <c r="Q17" s="91">
        <f>3.4/26.5</f>
        <v>0.12830188679245283</v>
      </c>
      <c r="R17" s="91">
        <v>0</v>
      </c>
      <c r="S17" s="90">
        <f t="shared" si="3"/>
        <v>3.5538461538461537</v>
      </c>
      <c r="T17" s="92">
        <f t="shared" si="4"/>
        <v>1.0586396813392638</v>
      </c>
      <c r="U17" s="93"/>
      <c r="V17" s="86">
        <f t="shared" si="5"/>
        <v>20000</v>
      </c>
      <c r="W17" s="87">
        <f t="shared" si="6"/>
        <v>2.0849097857450798E-2</v>
      </c>
      <c r="X17" s="93"/>
      <c r="Y17" s="94">
        <v>45259</v>
      </c>
      <c r="Z17" s="95">
        <f t="shared" si="7"/>
        <v>45900</v>
      </c>
      <c r="AA17" s="96">
        <f t="shared" si="8"/>
        <v>-20000</v>
      </c>
      <c r="AB17" s="96">
        <f t="shared" si="9"/>
        <v>71076.923076923078</v>
      </c>
      <c r="AD17" s="90">
        <f t="shared" si="10"/>
        <v>3.5538461538461537</v>
      </c>
    </row>
    <row r="18" spans="1:30" ht="15" customHeight="1" x14ac:dyDescent="0.15">
      <c r="A18" s="165">
        <v>1</v>
      </c>
      <c r="B18" s="80"/>
      <c r="C18" s="84" t="s">
        <v>17</v>
      </c>
      <c r="D18" s="84"/>
      <c r="E18" s="84" t="s">
        <v>121</v>
      </c>
      <c r="F18" s="84" t="s">
        <v>130</v>
      </c>
      <c r="G18" s="84" t="s">
        <v>142</v>
      </c>
      <c r="H18" s="84" t="s">
        <v>197</v>
      </c>
      <c r="I18" s="85">
        <f t="shared" si="0"/>
        <v>45260</v>
      </c>
      <c r="J18" s="85" t="s">
        <v>106</v>
      </c>
      <c r="K18" s="86">
        <v>20000</v>
      </c>
      <c r="L18" s="87">
        <f t="shared" si="1"/>
        <v>2.0849097857450798E-2</v>
      </c>
      <c r="M18" s="88" t="s">
        <v>98</v>
      </c>
      <c r="N18" s="89">
        <v>15</v>
      </c>
      <c r="O18" s="89">
        <v>50</v>
      </c>
      <c r="P18" s="90">
        <f t="shared" si="2"/>
        <v>3.3333333333333335</v>
      </c>
      <c r="Q18" s="91">
        <f>1-(24.686/20)/(26.7/15)-(1/50)</f>
        <v>0.28657303370786513</v>
      </c>
      <c r="R18" s="91">
        <v>0</v>
      </c>
      <c r="S18" s="90">
        <f t="shared" si="3"/>
        <v>2.3780898876404497</v>
      </c>
      <c r="T18" s="92">
        <f t="shared" si="4"/>
        <v>0.63895747065544151</v>
      </c>
      <c r="U18" s="93"/>
      <c r="V18" s="86">
        <f t="shared" si="5"/>
        <v>20000</v>
      </c>
      <c r="W18" s="87">
        <f t="shared" si="6"/>
        <v>2.0849097857450798E-2</v>
      </c>
      <c r="X18" s="93"/>
      <c r="Y18" s="94">
        <v>45260</v>
      </c>
      <c r="Z18" s="95">
        <f t="shared" si="7"/>
        <v>45900</v>
      </c>
      <c r="AA18" s="96">
        <f t="shared" si="8"/>
        <v>-20000</v>
      </c>
      <c r="AB18" s="96">
        <f t="shared" si="9"/>
        <v>47561.797752808998</v>
      </c>
      <c r="AD18" s="90">
        <f t="shared" si="10"/>
        <v>2.3780898876404497</v>
      </c>
    </row>
    <row r="19" spans="1:30" ht="15" customHeight="1" x14ac:dyDescent="0.15">
      <c r="A19" s="165">
        <v>1</v>
      </c>
      <c r="B19" s="80"/>
      <c r="C19" s="84" t="s">
        <v>18</v>
      </c>
      <c r="D19" s="84"/>
      <c r="E19" s="84" t="s">
        <v>124</v>
      </c>
      <c r="F19" s="84" t="s">
        <v>131</v>
      </c>
      <c r="G19" s="84" t="s">
        <v>141</v>
      </c>
      <c r="H19" s="84" t="s">
        <v>168</v>
      </c>
      <c r="I19" s="85">
        <f t="shared" si="0"/>
        <v>45294</v>
      </c>
      <c r="J19" s="85" t="s">
        <v>107</v>
      </c>
      <c r="K19" s="86">
        <v>12000</v>
      </c>
      <c r="L19" s="87">
        <f t="shared" si="1"/>
        <v>1.2509458714470479E-2</v>
      </c>
      <c r="M19" s="88" t="s">
        <v>98</v>
      </c>
      <c r="N19" s="89">
        <v>13.9</v>
      </c>
      <c r="O19" s="89">
        <f>N19</f>
        <v>13.9</v>
      </c>
      <c r="P19" s="90">
        <f t="shared" si="2"/>
        <v>1</v>
      </c>
      <c r="Q19" s="91">
        <v>0</v>
      </c>
      <c r="R19" s="91">
        <v>0</v>
      </c>
      <c r="S19" s="90">
        <f t="shared" si="3"/>
        <v>1</v>
      </c>
      <c r="T19" s="92">
        <f t="shared" si="4"/>
        <v>2.9802322387695314E-9</v>
      </c>
      <c r="U19" s="93"/>
      <c r="V19" s="86">
        <f t="shared" si="5"/>
        <v>12000</v>
      </c>
      <c r="W19" s="87">
        <f t="shared" si="6"/>
        <v>1.2509458714470479E-2</v>
      </c>
      <c r="X19" s="93"/>
      <c r="Y19" s="94">
        <v>45294</v>
      </c>
      <c r="Z19" s="95">
        <f t="shared" si="7"/>
        <v>45900</v>
      </c>
      <c r="AA19" s="96">
        <f t="shared" si="8"/>
        <v>-12000</v>
      </c>
      <c r="AB19" s="96">
        <f t="shared" si="9"/>
        <v>12000</v>
      </c>
      <c r="AD19" s="90">
        <f t="shared" si="10"/>
        <v>1</v>
      </c>
    </row>
    <row r="20" spans="1:30" ht="15" customHeight="1" x14ac:dyDescent="0.15">
      <c r="A20" s="165">
        <v>1</v>
      </c>
      <c r="B20" s="80"/>
      <c r="C20" s="84" t="s">
        <v>212</v>
      </c>
      <c r="D20" s="84"/>
      <c r="E20" s="84" t="s">
        <v>118</v>
      </c>
      <c r="F20" s="84" t="s">
        <v>130</v>
      </c>
      <c r="G20" s="84" t="s">
        <v>143</v>
      </c>
      <c r="H20" s="84" t="s">
        <v>198</v>
      </c>
      <c r="I20" s="85">
        <f t="shared" si="0"/>
        <v>45381</v>
      </c>
      <c r="J20" s="85" t="s">
        <v>107</v>
      </c>
      <c r="K20" s="86">
        <f>O20*1000/(O20/N20)</f>
        <v>29500</v>
      </c>
      <c r="L20" s="87">
        <f t="shared" si="1"/>
        <v>3.0752419339739927E-2</v>
      </c>
      <c r="M20" s="88" t="s">
        <v>98</v>
      </c>
      <c r="N20" s="89">
        <v>29.5</v>
      </c>
      <c r="O20" s="89">
        <v>70</v>
      </c>
      <c r="P20" s="90">
        <f t="shared" si="2"/>
        <v>2.3728813559322033</v>
      </c>
      <c r="Q20" s="91">
        <v>0</v>
      </c>
      <c r="R20" s="91">
        <v>0</v>
      </c>
      <c r="S20" s="90">
        <f t="shared" si="3"/>
        <v>2.3728813559322033</v>
      </c>
      <c r="T20" s="92">
        <f t="shared" si="4"/>
        <v>0.83621040582656869</v>
      </c>
      <c r="U20" s="93"/>
      <c r="V20" s="86">
        <f t="shared" si="5"/>
        <v>29500</v>
      </c>
      <c r="W20" s="87">
        <f t="shared" si="6"/>
        <v>3.0752419339739927E-2</v>
      </c>
      <c r="X20" s="93"/>
      <c r="Y20" s="94">
        <v>45381</v>
      </c>
      <c r="Z20" s="95">
        <f t="shared" si="7"/>
        <v>45900</v>
      </c>
      <c r="AA20" s="96">
        <f t="shared" si="8"/>
        <v>-29500</v>
      </c>
      <c r="AB20" s="96">
        <f t="shared" si="9"/>
        <v>70000</v>
      </c>
      <c r="AD20" s="90">
        <f t="shared" si="10"/>
        <v>2.3728813559322033</v>
      </c>
    </row>
    <row r="21" spans="1:30" ht="15" customHeight="1" x14ac:dyDescent="0.15">
      <c r="A21" s="165">
        <v>1</v>
      </c>
      <c r="B21" s="80"/>
      <c r="C21" s="84" t="s">
        <v>101</v>
      </c>
      <c r="D21" s="84"/>
      <c r="E21" s="84" t="s">
        <v>159</v>
      </c>
      <c r="F21" s="84" t="s">
        <v>131</v>
      </c>
      <c r="G21" s="84" t="s">
        <v>174</v>
      </c>
      <c r="H21" s="84" t="s">
        <v>171</v>
      </c>
      <c r="I21" s="85">
        <f t="shared" si="0"/>
        <v>45420</v>
      </c>
      <c r="J21" s="85" t="s">
        <v>106</v>
      </c>
      <c r="K21" s="86">
        <v>15000</v>
      </c>
      <c r="L21" s="87">
        <f t="shared" si="1"/>
        <v>1.5636823393088098E-2</v>
      </c>
      <c r="M21" s="88" t="s">
        <v>98</v>
      </c>
      <c r="N21" s="89">
        <v>8</v>
      </c>
      <c r="O21" s="89">
        <v>18.5</v>
      </c>
      <c r="P21" s="90">
        <f t="shared" si="2"/>
        <v>2.3125</v>
      </c>
      <c r="Q21" s="91">
        <v>0</v>
      </c>
      <c r="R21" s="91">
        <v>0</v>
      </c>
      <c r="S21" s="90">
        <f t="shared" si="3"/>
        <v>2.3125</v>
      </c>
      <c r="T21" s="92">
        <f t="shared" si="4"/>
        <v>0.89170678853988661</v>
      </c>
      <c r="U21" s="93"/>
      <c r="V21" s="86">
        <f t="shared" si="5"/>
        <v>15000</v>
      </c>
      <c r="W21" s="87">
        <f t="shared" si="6"/>
        <v>1.5636823393088098E-2</v>
      </c>
      <c r="X21" s="93"/>
      <c r="Y21" s="94">
        <v>45420</v>
      </c>
      <c r="Z21" s="95">
        <f t="shared" si="7"/>
        <v>45900</v>
      </c>
      <c r="AA21" s="96">
        <f t="shared" si="8"/>
        <v>-15000</v>
      </c>
      <c r="AB21" s="96">
        <f t="shared" si="9"/>
        <v>34687.5</v>
      </c>
      <c r="AD21" s="90">
        <f t="shared" si="10"/>
        <v>2.3125</v>
      </c>
    </row>
    <row r="22" spans="1:30" ht="15" customHeight="1" x14ac:dyDescent="0.15">
      <c r="A22" s="165">
        <v>1</v>
      </c>
      <c r="B22" s="80"/>
      <c r="C22" s="84" t="s">
        <v>145</v>
      </c>
      <c r="D22" s="84"/>
      <c r="E22" s="84" t="s">
        <v>157</v>
      </c>
      <c r="F22" s="84" t="s">
        <v>130</v>
      </c>
      <c r="G22" s="84" t="s">
        <v>156</v>
      </c>
      <c r="H22" s="84" t="s">
        <v>168</v>
      </c>
      <c r="I22" s="85">
        <f t="shared" si="0"/>
        <v>45460</v>
      </c>
      <c r="J22" s="85" t="s">
        <v>103</v>
      </c>
      <c r="K22" s="86">
        <v>20000</v>
      </c>
      <c r="L22" s="87">
        <f t="shared" si="1"/>
        <v>2.0849097857450798E-2</v>
      </c>
      <c r="M22" s="88" t="s">
        <v>98</v>
      </c>
      <c r="N22" s="89">
        <v>50</v>
      </c>
      <c r="O22" s="89">
        <f>N22</f>
        <v>50</v>
      </c>
      <c r="P22" s="90">
        <f t="shared" si="2"/>
        <v>1</v>
      </c>
      <c r="Q22" s="91">
        <v>0</v>
      </c>
      <c r="R22" s="91">
        <v>0</v>
      </c>
      <c r="S22" s="90">
        <f t="shared" si="3"/>
        <v>1</v>
      </c>
      <c r="T22" s="92">
        <f t="shared" si="4"/>
        <v>2.9802322387695314E-9</v>
      </c>
      <c r="U22" s="93"/>
      <c r="V22" s="86">
        <f t="shared" si="5"/>
        <v>20000</v>
      </c>
      <c r="W22" s="87">
        <f t="shared" si="6"/>
        <v>2.0849097857450798E-2</v>
      </c>
      <c r="X22" s="93"/>
      <c r="Y22" s="94">
        <v>45460</v>
      </c>
      <c r="Z22" s="95">
        <f t="shared" si="7"/>
        <v>45900</v>
      </c>
      <c r="AA22" s="96">
        <f t="shared" si="8"/>
        <v>-20000</v>
      </c>
      <c r="AB22" s="96">
        <f t="shared" si="9"/>
        <v>20000</v>
      </c>
      <c r="AD22" s="90">
        <f t="shared" si="10"/>
        <v>1</v>
      </c>
    </row>
    <row r="23" spans="1:30" ht="15" customHeight="1" x14ac:dyDescent="0.15">
      <c r="A23" s="165">
        <v>1</v>
      </c>
      <c r="B23" s="80"/>
      <c r="C23" s="84" t="s">
        <v>147</v>
      </c>
      <c r="D23" s="84"/>
      <c r="E23" s="84" t="s">
        <v>160</v>
      </c>
      <c r="F23" s="84" t="s">
        <v>158</v>
      </c>
      <c r="G23" s="84" t="s">
        <v>155</v>
      </c>
      <c r="H23" s="84" t="s">
        <v>175</v>
      </c>
      <c r="I23" s="85">
        <f t="shared" si="0"/>
        <v>45476</v>
      </c>
      <c r="J23" s="85" t="s">
        <v>104</v>
      </c>
      <c r="K23" s="86">
        <v>50000</v>
      </c>
      <c r="L23" s="87">
        <f t="shared" si="1"/>
        <v>5.2122744643626998E-2</v>
      </c>
      <c r="M23" s="88" t="s">
        <v>98</v>
      </c>
      <c r="N23" s="89">
        <v>120</v>
      </c>
      <c r="O23" s="89">
        <f>N23</f>
        <v>120</v>
      </c>
      <c r="P23" s="90">
        <f t="shared" si="2"/>
        <v>1</v>
      </c>
      <c r="Q23" s="91">
        <v>0</v>
      </c>
      <c r="R23" s="91">
        <v>0</v>
      </c>
      <c r="S23" s="90">
        <f t="shared" si="3"/>
        <v>1</v>
      </c>
      <c r="T23" s="92">
        <f t="shared" si="4"/>
        <v>2.9802322387695314E-9</v>
      </c>
      <c r="U23" s="93"/>
      <c r="V23" s="86">
        <f t="shared" si="5"/>
        <v>50000</v>
      </c>
      <c r="W23" s="87">
        <f t="shared" si="6"/>
        <v>5.2122744643626998E-2</v>
      </c>
      <c r="X23" s="93"/>
      <c r="Y23" s="94">
        <v>45476</v>
      </c>
      <c r="Z23" s="95">
        <f t="shared" si="7"/>
        <v>45900</v>
      </c>
      <c r="AA23" s="96">
        <f t="shared" si="8"/>
        <v>-50000</v>
      </c>
      <c r="AB23" s="96">
        <f t="shared" si="9"/>
        <v>50000</v>
      </c>
      <c r="AD23" s="90">
        <f t="shared" si="10"/>
        <v>1</v>
      </c>
    </row>
    <row r="24" spans="1:30" ht="15" customHeight="1" x14ac:dyDescent="0.15">
      <c r="A24" s="165">
        <v>1</v>
      </c>
      <c r="B24" s="80"/>
      <c r="C24" s="84" t="s">
        <v>146</v>
      </c>
      <c r="D24" s="84"/>
      <c r="E24" s="84" t="s">
        <v>166</v>
      </c>
      <c r="F24" s="84" t="s">
        <v>158</v>
      </c>
      <c r="G24" s="84" t="s">
        <v>154</v>
      </c>
      <c r="H24" s="84" t="s">
        <v>168</v>
      </c>
      <c r="I24" s="85">
        <f t="shared" si="0"/>
        <v>45488</v>
      </c>
      <c r="J24" s="85" t="s">
        <v>152</v>
      </c>
      <c r="K24" s="86">
        <v>140000</v>
      </c>
      <c r="L24" s="87">
        <f t="shared" si="1"/>
        <v>0.1459436850021556</v>
      </c>
      <c r="M24" s="88" t="s">
        <v>98</v>
      </c>
      <c r="N24" s="89">
        <f>950+130</f>
        <v>1080</v>
      </c>
      <c r="O24" s="89">
        <f>N24</f>
        <v>1080</v>
      </c>
      <c r="P24" s="90">
        <f t="shared" si="2"/>
        <v>1</v>
      </c>
      <c r="Q24" s="91">
        <v>0</v>
      </c>
      <c r="R24" s="91">
        <v>0</v>
      </c>
      <c r="S24" s="90">
        <f t="shared" si="3"/>
        <v>1</v>
      </c>
      <c r="T24" s="92">
        <f t="shared" si="4"/>
        <v>2.9802322387695314E-9</v>
      </c>
      <c r="U24" s="93"/>
      <c r="V24" s="86">
        <f t="shared" si="5"/>
        <v>140000</v>
      </c>
      <c r="W24" s="87">
        <f t="shared" si="6"/>
        <v>0.1459436850021556</v>
      </c>
      <c r="X24" s="93"/>
      <c r="Y24" s="94">
        <v>45488</v>
      </c>
      <c r="Z24" s="95">
        <f t="shared" si="7"/>
        <v>45900</v>
      </c>
      <c r="AA24" s="96">
        <f t="shared" si="8"/>
        <v>-140000</v>
      </c>
      <c r="AB24" s="96">
        <f t="shared" si="9"/>
        <v>140000</v>
      </c>
      <c r="AD24" s="90">
        <f t="shared" si="10"/>
        <v>1</v>
      </c>
    </row>
    <row r="25" spans="1:30" ht="15" customHeight="1" x14ac:dyDescent="0.15">
      <c r="A25" s="165">
        <v>1</v>
      </c>
      <c r="B25" s="80"/>
      <c r="C25" s="84" t="s">
        <v>161</v>
      </c>
      <c r="D25" s="84"/>
      <c r="E25" s="84" t="s">
        <v>172</v>
      </c>
      <c r="F25" s="84" t="s">
        <v>162</v>
      </c>
      <c r="G25" s="84" t="s">
        <v>163</v>
      </c>
      <c r="H25" s="84" t="s">
        <v>168</v>
      </c>
      <c r="I25" s="85">
        <f t="shared" si="0"/>
        <v>45576</v>
      </c>
      <c r="J25" s="85" t="s">
        <v>107</v>
      </c>
      <c r="K25" s="86">
        <v>20000</v>
      </c>
      <c r="L25" s="87">
        <f t="shared" si="1"/>
        <v>2.0849097857450798E-2</v>
      </c>
      <c r="M25" s="88" t="s">
        <v>98</v>
      </c>
      <c r="N25" s="89">
        <v>30</v>
      </c>
      <c r="O25" s="89">
        <v>257.8</v>
      </c>
      <c r="P25" s="90">
        <f t="shared" si="2"/>
        <v>8.5933333333333337</v>
      </c>
      <c r="Q25" s="91">
        <f>57.8/O25</f>
        <v>0.22420480993017841</v>
      </c>
      <c r="R25" s="91">
        <v>0</v>
      </c>
      <c r="S25" s="90">
        <f t="shared" si="3"/>
        <v>6.666666666666667</v>
      </c>
      <c r="T25" s="92">
        <f t="shared" si="4"/>
        <v>7.4755676746368414</v>
      </c>
      <c r="U25" s="93"/>
      <c r="V25" s="86">
        <f t="shared" si="5"/>
        <v>20000</v>
      </c>
      <c r="W25" s="87">
        <f t="shared" si="6"/>
        <v>2.0849097857450798E-2</v>
      </c>
      <c r="X25" s="93"/>
      <c r="Y25" s="94">
        <v>45576</v>
      </c>
      <c r="Z25" s="95">
        <f t="shared" si="7"/>
        <v>45900</v>
      </c>
      <c r="AA25" s="96">
        <f t="shared" si="8"/>
        <v>-20000</v>
      </c>
      <c r="AB25" s="96">
        <f t="shared" si="9"/>
        <v>133333.33333333334</v>
      </c>
      <c r="AD25" s="90">
        <f t="shared" si="10"/>
        <v>6.666666666666667</v>
      </c>
    </row>
    <row r="26" spans="1:30" ht="15" customHeight="1" x14ac:dyDescent="0.15">
      <c r="A26" s="165">
        <v>1</v>
      </c>
      <c r="B26" s="80"/>
      <c r="C26" s="84" t="s">
        <v>182</v>
      </c>
      <c r="D26" s="84"/>
      <c r="E26" s="84" t="s">
        <v>181</v>
      </c>
      <c r="F26" s="84" t="s">
        <v>131</v>
      </c>
      <c r="G26" s="84" t="s">
        <v>180</v>
      </c>
      <c r="H26" s="84" t="s">
        <v>175</v>
      </c>
      <c r="I26" s="85">
        <f t="shared" si="0"/>
        <v>45686</v>
      </c>
      <c r="J26" s="85" t="s">
        <v>107</v>
      </c>
      <c r="K26" s="86">
        <v>40000</v>
      </c>
      <c r="L26" s="87">
        <f t="shared" si="1"/>
        <v>4.1698195714901597E-2</v>
      </c>
      <c r="M26" s="88" t="s">
        <v>98</v>
      </c>
      <c r="N26" s="89">
        <v>40</v>
      </c>
      <c r="O26" s="89">
        <v>40</v>
      </c>
      <c r="P26" s="90">
        <f t="shared" si="2"/>
        <v>1</v>
      </c>
      <c r="Q26" s="91">
        <v>0</v>
      </c>
      <c r="R26" s="91">
        <v>0</v>
      </c>
      <c r="S26" s="90">
        <f t="shared" si="3"/>
        <v>1</v>
      </c>
      <c r="T26" s="92">
        <f t="shared" si="4"/>
        <v>2.9802322387695314E-9</v>
      </c>
      <c r="U26" s="93"/>
      <c r="V26" s="86">
        <f t="shared" si="5"/>
        <v>40000</v>
      </c>
      <c r="W26" s="87">
        <f t="shared" si="6"/>
        <v>4.1698195714901597E-2</v>
      </c>
      <c r="X26" s="93"/>
      <c r="Y26" s="94">
        <v>45686</v>
      </c>
      <c r="Z26" s="95">
        <f t="shared" si="7"/>
        <v>45900</v>
      </c>
      <c r="AA26" s="96">
        <f t="shared" si="8"/>
        <v>-40000</v>
      </c>
      <c r="AB26" s="96">
        <f t="shared" si="9"/>
        <v>40000</v>
      </c>
      <c r="AD26" s="90">
        <f t="shared" si="10"/>
        <v>1</v>
      </c>
    </row>
    <row r="27" spans="1:30" ht="15" customHeight="1" x14ac:dyDescent="0.15">
      <c r="A27" s="165">
        <v>1</v>
      </c>
      <c r="B27" s="80"/>
      <c r="C27" s="84" t="s">
        <v>183</v>
      </c>
      <c r="D27" s="84"/>
      <c r="E27" s="84" t="s">
        <v>187</v>
      </c>
      <c r="F27" s="84" t="s">
        <v>188</v>
      </c>
      <c r="G27" s="84" t="s">
        <v>207</v>
      </c>
      <c r="H27" s="84" t="s">
        <v>175</v>
      </c>
      <c r="I27" s="85">
        <f t="shared" si="0"/>
        <v>45747</v>
      </c>
      <c r="J27" s="85" t="s">
        <v>103</v>
      </c>
      <c r="K27" s="86">
        <v>71540</v>
      </c>
      <c r="L27" s="87">
        <f t="shared" si="1"/>
        <v>7.4577223036101509E-2</v>
      </c>
      <c r="M27" s="88" t="s">
        <v>98</v>
      </c>
      <c r="N27" s="89">
        <v>212.8</v>
      </c>
      <c r="O27" s="89">
        <v>245</v>
      </c>
      <c r="P27" s="90">
        <f t="shared" si="2"/>
        <v>1.1513157894736841</v>
      </c>
      <c r="Q27" s="91">
        <v>0</v>
      </c>
      <c r="R27" s="91">
        <v>0</v>
      </c>
      <c r="S27" s="90">
        <f t="shared" si="3"/>
        <v>1.1513157894736841</v>
      </c>
      <c r="T27" s="92">
        <f t="shared" ref="T27:T29" si="11">IF($A27=0,"N/A",IFERROR(XIRR(AA27:AB27,Y27:Z27),-1))</f>
        <v>0.39954473376274113</v>
      </c>
      <c r="U27" s="93"/>
      <c r="V27" s="86">
        <f t="shared" si="5"/>
        <v>71540</v>
      </c>
      <c r="W27" s="87">
        <f t="shared" si="6"/>
        <v>7.4577223036101509E-2</v>
      </c>
      <c r="X27" s="93"/>
      <c r="Y27" s="94">
        <v>45747</v>
      </c>
      <c r="Z27" s="95">
        <f t="shared" si="7"/>
        <v>45900</v>
      </c>
      <c r="AA27" s="96">
        <f t="shared" si="8"/>
        <v>-71540</v>
      </c>
      <c r="AB27" s="96">
        <f t="shared" si="9"/>
        <v>82365.131578947359</v>
      </c>
      <c r="AD27" s="90">
        <f t="shared" si="10"/>
        <v>1.1513157894736841</v>
      </c>
    </row>
    <row r="28" spans="1:30" ht="15" customHeight="1" x14ac:dyDescent="0.15">
      <c r="A28" s="165">
        <v>1</v>
      </c>
      <c r="B28" s="80"/>
      <c r="C28" s="84" t="s">
        <v>200</v>
      </c>
      <c r="D28" s="84"/>
      <c r="E28" s="84" t="s">
        <v>202</v>
      </c>
      <c r="F28" s="84" t="s">
        <v>130</v>
      </c>
      <c r="G28" s="84" t="s">
        <v>201</v>
      </c>
      <c r="H28" s="84" t="s">
        <v>170</v>
      </c>
      <c r="I28" s="85">
        <f t="shared" si="0"/>
        <v>45812</v>
      </c>
      <c r="J28" s="85" t="s">
        <v>107</v>
      </c>
      <c r="K28" s="86">
        <v>20000</v>
      </c>
      <c r="L28" s="87">
        <f t="shared" ref="L28" si="12">W28</f>
        <v>2.0849097857450798E-2</v>
      </c>
      <c r="M28" s="88" t="s">
        <v>98</v>
      </c>
      <c r="N28" s="89">
        <v>50</v>
      </c>
      <c r="O28" s="89">
        <v>50</v>
      </c>
      <c r="P28" s="90">
        <f t="shared" si="2"/>
        <v>1</v>
      </c>
      <c r="Q28" s="91">
        <v>0</v>
      </c>
      <c r="R28" s="91">
        <v>0</v>
      </c>
      <c r="S28" s="90">
        <f t="shared" si="3"/>
        <v>1</v>
      </c>
      <c r="T28" s="92">
        <f t="shared" si="11"/>
        <v>2.9802322387695314E-9</v>
      </c>
      <c r="U28" s="93"/>
      <c r="V28" s="86">
        <f t="shared" si="5"/>
        <v>20000</v>
      </c>
      <c r="W28" s="87">
        <f t="shared" si="6"/>
        <v>2.0849097857450798E-2</v>
      </c>
      <c r="X28" s="93"/>
      <c r="Y28" s="94">
        <v>45812</v>
      </c>
      <c r="Z28" s="95">
        <f t="shared" si="7"/>
        <v>45900</v>
      </c>
      <c r="AA28" s="96">
        <f t="shared" si="8"/>
        <v>-20000</v>
      </c>
      <c r="AB28" s="96">
        <f t="shared" si="9"/>
        <v>20000</v>
      </c>
      <c r="AD28" s="90">
        <f t="shared" si="10"/>
        <v>1</v>
      </c>
    </row>
    <row r="29" spans="1:30" ht="15" customHeight="1" x14ac:dyDescent="0.15">
      <c r="A29" s="165">
        <v>1</v>
      </c>
      <c r="B29" s="80"/>
      <c r="C29" s="84" t="s">
        <v>204</v>
      </c>
      <c r="D29" s="84"/>
      <c r="E29" s="84" t="s">
        <v>205</v>
      </c>
      <c r="F29" s="84" t="s">
        <v>130</v>
      </c>
      <c r="G29" s="84" t="s">
        <v>206</v>
      </c>
      <c r="H29" s="84" t="s">
        <v>175</v>
      </c>
      <c r="I29" s="85">
        <f t="shared" ref="I29" si="13">Y29</f>
        <v>45839</v>
      </c>
      <c r="J29" s="85" t="s">
        <v>103</v>
      </c>
      <c r="K29" s="86">
        <v>5000</v>
      </c>
      <c r="L29" s="87">
        <f t="shared" ref="L29" si="14">W29</f>
        <v>5.2122744643626996E-3</v>
      </c>
      <c r="M29" s="88" t="s">
        <v>98</v>
      </c>
      <c r="N29" s="89">
        <v>155</v>
      </c>
      <c r="O29" s="89">
        <f>N29</f>
        <v>155</v>
      </c>
      <c r="P29" s="90">
        <f t="shared" si="2"/>
        <v>1</v>
      </c>
      <c r="Q29" s="91">
        <v>0</v>
      </c>
      <c r="R29" s="91">
        <v>0</v>
      </c>
      <c r="S29" s="90">
        <f t="shared" si="3"/>
        <v>1</v>
      </c>
      <c r="T29" s="92">
        <f t="shared" si="11"/>
        <v>2.9802322387695314E-9</v>
      </c>
      <c r="U29" s="93"/>
      <c r="V29" s="86">
        <f t="shared" si="5"/>
        <v>5000</v>
      </c>
      <c r="W29" s="87">
        <f t="shared" si="6"/>
        <v>5.2122744643626996E-3</v>
      </c>
      <c r="X29" s="93"/>
      <c r="Y29" s="94">
        <v>45839</v>
      </c>
      <c r="Z29" s="95">
        <f t="shared" si="7"/>
        <v>45900</v>
      </c>
      <c r="AA29" s="96">
        <f t="shared" si="8"/>
        <v>-5000</v>
      </c>
      <c r="AB29" s="96">
        <f t="shared" si="9"/>
        <v>5000</v>
      </c>
      <c r="AD29" s="90">
        <f t="shared" si="10"/>
        <v>1</v>
      </c>
    </row>
    <row r="30" spans="1:30" ht="15" customHeight="1" x14ac:dyDescent="0.15">
      <c r="A30" s="152"/>
      <c r="B30" s="80"/>
      <c r="C30" s="98"/>
      <c r="D30" s="98"/>
      <c r="E30" s="98"/>
      <c r="F30" s="98"/>
      <c r="G30" s="98"/>
      <c r="H30" s="98"/>
      <c r="I30" s="99"/>
      <c r="J30" s="99"/>
      <c r="K30" s="100"/>
      <c r="L30" s="153"/>
      <c r="M30" s="102"/>
      <c r="N30" s="103"/>
      <c r="O30" s="103"/>
      <c r="P30" s="104"/>
      <c r="Q30" s="154"/>
      <c r="R30" s="154"/>
      <c r="S30" s="104"/>
      <c r="T30" s="105"/>
      <c r="U30" s="78"/>
      <c r="V30" s="100"/>
      <c r="W30" s="153"/>
      <c r="X30" s="78"/>
      <c r="Y30" s="155"/>
      <c r="Z30" s="106"/>
      <c r="AA30" s="107"/>
      <c r="AB30" s="107"/>
      <c r="AD30" s="104"/>
    </row>
    <row r="31" spans="1:30" ht="5" customHeight="1" x14ac:dyDescent="0.15">
      <c r="B31" s="80"/>
      <c r="C31" s="98"/>
      <c r="D31" s="98"/>
      <c r="E31" s="98"/>
      <c r="F31" s="98"/>
      <c r="G31" s="98"/>
      <c r="H31" s="98"/>
      <c r="I31" s="99"/>
      <c r="J31" s="99"/>
      <c r="K31" s="100"/>
      <c r="L31" s="101"/>
      <c r="M31" s="102"/>
      <c r="N31" s="103"/>
      <c r="O31" s="103"/>
      <c r="P31" s="103"/>
      <c r="Q31" s="103"/>
      <c r="R31" s="103"/>
      <c r="S31" s="104"/>
      <c r="T31" s="105"/>
      <c r="U31" s="78"/>
      <c r="V31" s="100"/>
      <c r="W31" s="105"/>
      <c r="X31" s="78"/>
      <c r="Y31" s="106"/>
      <c r="Z31" s="106"/>
      <c r="AA31" s="107"/>
      <c r="AB31" s="107"/>
    </row>
    <row r="32" spans="1:30" ht="18" customHeight="1" x14ac:dyDescent="0.3">
      <c r="F32" s="108"/>
      <c r="G32" s="108"/>
      <c r="N32" s="103"/>
      <c r="O32" s="103"/>
      <c r="P32" s="103"/>
      <c r="Q32" s="103"/>
      <c r="R32" s="103"/>
      <c r="S32" s="83">
        <f>Z4</f>
        <v>45900</v>
      </c>
      <c r="T32" s="77"/>
      <c r="U32" s="78"/>
      <c r="V32" s="78"/>
      <c r="W32" s="78"/>
      <c r="X32" s="78"/>
      <c r="Y32" s="78"/>
      <c r="Z32" s="78"/>
      <c r="AA32" s="78"/>
      <c r="AB32" s="78"/>
    </row>
    <row r="33" spans="3:32" ht="20" customHeight="1" x14ac:dyDescent="0.3">
      <c r="E33" s="114" t="s">
        <v>190</v>
      </c>
      <c r="F33" s="109"/>
      <c r="G33" s="109"/>
      <c r="K33" s="78"/>
      <c r="N33" s="81"/>
      <c r="O33" s="103"/>
      <c r="P33" s="103"/>
      <c r="Q33" s="103"/>
      <c r="R33" s="103"/>
      <c r="S33" s="77" t="s">
        <v>208</v>
      </c>
      <c r="T33" s="77" t="s">
        <v>185</v>
      </c>
      <c r="U33" s="78"/>
      <c r="V33" s="110">
        <f>SUM(V5:V31)</f>
        <v>959274.12</v>
      </c>
      <c r="W33" s="111">
        <f>V33/$V$33</f>
        <v>1</v>
      </c>
      <c r="X33" s="78"/>
      <c r="Y33" s="78"/>
      <c r="Z33" s="78"/>
      <c r="AA33" s="148">
        <f>-SUM(AA5:AA31)</f>
        <v>959274.12</v>
      </c>
      <c r="AB33" s="148">
        <f>SUM(AB5:AB31)</f>
        <v>6459231.1329813171</v>
      </c>
    </row>
    <row r="34" spans="3:32" ht="5" customHeight="1" x14ac:dyDescent="0.3">
      <c r="K34" s="78"/>
      <c r="N34" s="103"/>
      <c r="O34" s="103"/>
      <c r="P34" s="103"/>
      <c r="Q34" s="103"/>
      <c r="R34" s="103"/>
      <c r="S34" s="112"/>
      <c r="T34" s="112"/>
      <c r="U34" s="78"/>
      <c r="V34" s="78"/>
      <c r="W34" s="78"/>
      <c r="X34" s="78"/>
      <c r="Y34" s="78"/>
      <c r="Z34" s="78"/>
      <c r="AA34" s="78"/>
      <c r="AB34" s="78"/>
    </row>
    <row r="35" spans="3:32" x14ac:dyDescent="0.15">
      <c r="E35" s="109" t="s">
        <v>191</v>
      </c>
      <c r="H35" s="114"/>
      <c r="K35" s="78"/>
      <c r="N35" s="115" t="s">
        <v>194</v>
      </c>
      <c r="O35" s="116"/>
      <c r="P35" s="116"/>
      <c r="Q35" s="116"/>
      <c r="R35" s="116"/>
      <c r="S35" s="117">
        <f>AB33/AA33</f>
        <v>6.7334570987710132</v>
      </c>
      <c r="T35" s="118">
        <f>Z121</f>
        <v>0.76466189622879033</v>
      </c>
      <c r="U35" s="78"/>
      <c r="V35" s="78"/>
      <c r="W35" s="78"/>
      <c r="X35" s="78"/>
      <c r="Y35" s="78"/>
      <c r="Z35" s="78"/>
      <c r="AA35" s="78"/>
      <c r="AB35" s="78"/>
      <c r="AC35" s="113"/>
      <c r="AD35" s="113"/>
      <c r="AE35" s="113"/>
      <c r="AF35" s="113"/>
    </row>
    <row r="36" spans="3:32" x14ac:dyDescent="0.15">
      <c r="E36" s="151"/>
      <c r="H36" s="156"/>
      <c r="K36" s="110"/>
      <c r="N36" s="119" t="s">
        <v>192</v>
      </c>
      <c r="O36" s="120"/>
      <c r="P36" s="120"/>
      <c r="Q36" s="120"/>
      <c r="R36" s="120"/>
      <c r="S36" s="121">
        <f>MEDIAN(S5:S31)</f>
        <v>1.5</v>
      </c>
      <c r="T36" s="122"/>
      <c r="U36" s="78"/>
      <c r="X36" s="78"/>
      <c r="Y36" s="123"/>
      <c r="Z36" s="123"/>
      <c r="AA36" s="124">
        <f>-SUM(AA5:AA24)</f>
        <v>802734.12</v>
      </c>
      <c r="AB36" s="124">
        <f>SUM(AB5:AB24)</f>
        <v>6178532.6680690367</v>
      </c>
      <c r="AC36" s="113"/>
      <c r="AD36" s="113"/>
      <c r="AE36" s="113"/>
      <c r="AF36" s="113"/>
    </row>
    <row r="37" spans="3:32" x14ac:dyDescent="0.15">
      <c r="C37" s="125"/>
      <c r="D37" s="125"/>
      <c r="E37" s="151"/>
      <c r="H37" s="156"/>
      <c r="K37" s="78"/>
      <c r="N37" s="126"/>
      <c r="O37" s="127"/>
      <c r="P37" s="127"/>
      <c r="Q37" s="127"/>
      <c r="R37" s="127"/>
      <c r="S37" s="128"/>
      <c r="T37" s="104"/>
      <c r="U37" s="78"/>
      <c r="V37" s="78"/>
      <c r="W37" s="78"/>
      <c r="X37" s="78"/>
      <c r="Y37" s="78"/>
      <c r="Z37" s="78"/>
      <c r="AA37" s="78"/>
      <c r="AB37" s="78"/>
    </row>
    <row r="38" spans="3:32" x14ac:dyDescent="0.15">
      <c r="H38" s="156"/>
      <c r="K38" s="110"/>
      <c r="N38" s="157" t="s">
        <v>195</v>
      </c>
      <c r="O38" s="158"/>
      <c r="P38" s="158"/>
      <c r="Q38" s="158"/>
      <c r="R38" s="158"/>
      <c r="S38" s="159"/>
      <c r="T38" s="160"/>
      <c r="U38" s="78"/>
      <c r="X38" s="78"/>
      <c r="Y38" s="123"/>
      <c r="Z38" s="123"/>
      <c r="AA38" s="124"/>
      <c r="AB38" s="124"/>
      <c r="AC38" s="113"/>
      <c r="AD38" s="113"/>
      <c r="AE38" s="113"/>
      <c r="AF38" s="113"/>
    </row>
    <row r="39" spans="3:32" x14ac:dyDescent="0.15">
      <c r="H39" s="156"/>
      <c r="K39" s="78"/>
      <c r="N39" s="115" t="s">
        <v>193</v>
      </c>
      <c r="O39" s="116"/>
      <c r="P39" s="116"/>
      <c r="Q39" s="116"/>
      <c r="R39" s="116"/>
      <c r="S39" s="117">
        <f>AB36/AA36</f>
        <v>7.6968606592541962</v>
      </c>
      <c r="T39" s="118">
        <f>Z168</f>
        <v>0.75996869802474953</v>
      </c>
      <c r="U39" s="78"/>
      <c r="V39" s="78"/>
      <c r="W39" s="78"/>
      <c r="X39" s="78"/>
      <c r="Y39" s="78"/>
      <c r="Z39" s="78"/>
      <c r="AA39" s="78"/>
      <c r="AB39" s="78"/>
      <c r="AC39" s="113"/>
      <c r="AD39" s="113"/>
      <c r="AE39" s="113"/>
      <c r="AF39" s="113"/>
    </row>
    <row r="40" spans="3:32" x14ac:dyDescent="0.15">
      <c r="K40" s="110"/>
      <c r="N40" s="119" t="s">
        <v>192</v>
      </c>
      <c r="O40" s="127"/>
      <c r="P40" s="127"/>
      <c r="Q40" s="127"/>
      <c r="R40" s="127"/>
      <c r="S40" s="121">
        <f>MEDIAN(S5:S18)</f>
        <v>2.2307116104868916</v>
      </c>
      <c r="T40" s="111"/>
      <c r="U40" s="78"/>
      <c r="X40" s="78"/>
      <c r="Y40" s="123"/>
      <c r="Z40" s="123"/>
      <c r="AA40" s="124"/>
      <c r="AB40" s="124"/>
      <c r="AC40" s="113"/>
      <c r="AD40" s="113"/>
      <c r="AE40" s="113"/>
      <c r="AF40" s="113"/>
    </row>
    <row r="41" spans="3:32" x14ac:dyDescent="0.15">
      <c r="K41" s="78"/>
      <c r="N41" s="129"/>
      <c r="O41" s="127"/>
      <c r="P41" s="127"/>
      <c r="Q41" s="127"/>
      <c r="R41" s="127"/>
      <c r="S41" s="128"/>
      <c r="T41" s="111"/>
      <c r="U41" s="78"/>
      <c r="V41" s="78"/>
      <c r="W41" s="78"/>
      <c r="X41" s="78"/>
      <c r="Y41" s="78"/>
      <c r="Z41" s="78"/>
      <c r="AA41" s="78"/>
      <c r="AB41" s="78"/>
      <c r="AC41" s="113"/>
      <c r="AD41" s="113"/>
      <c r="AE41" s="113"/>
      <c r="AF41" s="113"/>
    </row>
    <row r="42" spans="3:32" ht="17" x14ac:dyDescent="0.3">
      <c r="H42" s="113"/>
      <c r="I42" s="113"/>
      <c r="K42" s="78"/>
      <c r="N42" s="129"/>
      <c r="O42" s="127"/>
      <c r="P42" s="130" t="s">
        <v>179</v>
      </c>
      <c r="Q42" s="127"/>
      <c r="R42" s="127"/>
      <c r="S42" s="82">
        <f>$O$4</f>
        <v>45900</v>
      </c>
      <c r="T42" s="111"/>
      <c r="U42" s="78"/>
      <c r="V42" s="78"/>
      <c r="W42" s="78"/>
      <c r="X42" s="78"/>
      <c r="Y42" s="78"/>
      <c r="Z42" s="78"/>
      <c r="AA42" s="78"/>
      <c r="AB42" s="78"/>
      <c r="AC42" s="113"/>
      <c r="AD42" s="113"/>
      <c r="AE42" s="113"/>
      <c r="AF42" s="113"/>
    </row>
    <row r="43" spans="3:32" ht="5" customHeight="1" x14ac:dyDescent="0.3">
      <c r="C43" s="98"/>
      <c r="D43" s="98"/>
      <c r="E43" s="98"/>
      <c r="F43" s="98"/>
      <c r="G43" s="98"/>
      <c r="H43" s="98"/>
      <c r="I43" s="98"/>
      <c r="J43" s="98"/>
      <c r="K43" s="100"/>
      <c r="L43" s="98"/>
      <c r="M43" s="98"/>
      <c r="N43" s="103"/>
      <c r="O43" s="103"/>
      <c r="P43" s="112"/>
      <c r="Q43" s="112"/>
      <c r="R43" s="112"/>
      <c r="S43" s="112"/>
      <c r="T43" s="104"/>
      <c r="U43" s="78"/>
      <c r="V43" s="100"/>
      <c r="W43" s="78"/>
      <c r="X43" s="78"/>
      <c r="Y43" s="78"/>
      <c r="Z43" s="78"/>
      <c r="AA43" s="78"/>
      <c r="AB43" s="78"/>
    </row>
    <row r="44" spans="3:32" x14ac:dyDescent="0.15">
      <c r="N44" s="131" t="s">
        <v>75</v>
      </c>
      <c r="O44" s="132"/>
      <c r="P44" s="133">
        <f>V33</f>
        <v>959274.12</v>
      </c>
      <c r="Q44" s="133"/>
      <c r="R44" s="133"/>
      <c r="S44" s="134">
        <f>SUMPRODUCT(S5:S31,$V$5:$V$31)</f>
        <v>6459231.1329813171</v>
      </c>
      <c r="U44" s="78"/>
      <c r="V44" s="100"/>
      <c r="W44" s="78"/>
      <c r="X44" s="78"/>
      <c r="Y44" s="78"/>
      <c r="Z44" s="78"/>
      <c r="AA44" s="78"/>
      <c r="AB44" s="78"/>
    </row>
    <row r="45" spans="3:32" ht="16" x14ac:dyDescent="0.2">
      <c r="C45" s="78"/>
      <c r="D45" s="78"/>
      <c r="E45" s="78"/>
      <c r="F45" s="78"/>
      <c r="G45" s="78"/>
      <c r="H45"/>
      <c r="I45"/>
      <c r="J45"/>
      <c r="K45"/>
      <c r="L45"/>
      <c r="M45" s="78"/>
      <c r="N45" s="135" t="s">
        <v>196</v>
      </c>
      <c r="O45" s="132"/>
      <c r="P45" s="136">
        <v>24</v>
      </c>
      <c r="Q45" s="161"/>
      <c r="R45" s="161"/>
      <c r="T45" s="78"/>
      <c r="U45" s="78"/>
      <c r="V45" s="100"/>
      <c r="W45" s="78"/>
      <c r="X45" s="78"/>
      <c r="Y45" s="78"/>
      <c r="Z45" s="78"/>
      <c r="AA45" s="78"/>
      <c r="AB45" s="78"/>
    </row>
    <row r="46" spans="3:32" ht="16" x14ac:dyDescent="0.2">
      <c r="E46" s="78"/>
      <c r="F46" s="78"/>
      <c r="H46"/>
      <c r="I46"/>
      <c r="J46"/>
      <c r="K46"/>
      <c r="L46"/>
      <c r="M46" s="78"/>
      <c r="N46" s="78"/>
      <c r="O46" s="103"/>
      <c r="P46" s="103"/>
      <c r="Q46" s="103"/>
      <c r="R46" s="103"/>
      <c r="S46" s="137"/>
      <c r="T46" s="78"/>
      <c r="U46" s="78"/>
      <c r="V46" s="100"/>
      <c r="W46" s="78"/>
      <c r="X46" s="78"/>
      <c r="Y46" s="78"/>
      <c r="Z46" s="78"/>
      <c r="AA46" s="78"/>
      <c r="AB46" s="78"/>
    </row>
    <row r="47" spans="3:32" ht="16" x14ac:dyDescent="0.2">
      <c r="C47" s="78"/>
      <c r="D47" s="78"/>
      <c r="E47" s="78"/>
      <c r="F47" s="78"/>
      <c r="G47" s="78"/>
      <c r="H47"/>
      <c r="I47"/>
      <c r="J47"/>
      <c r="K47"/>
      <c r="L47"/>
      <c r="M47" s="78"/>
      <c r="N47" s="78"/>
      <c r="O47" s="103"/>
      <c r="P47" s="103"/>
      <c r="Q47" s="103"/>
      <c r="R47" s="103"/>
      <c r="S47" s="137"/>
      <c r="T47" s="78"/>
      <c r="U47" s="78"/>
      <c r="V47" s="100"/>
      <c r="W47" s="78"/>
      <c r="X47" s="78"/>
      <c r="Y47" s="78"/>
      <c r="Z47" s="78"/>
      <c r="AA47" s="78"/>
      <c r="AB47" s="78"/>
    </row>
    <row r="48" spans="3:32" ht="16" x14ac:dyDescent="0.2">
      <c r="C48" s="78"/>
      <c r="D48" s="78"/>
      <c r="E48" s="78"/>
      <c r="F48" s="78"/>
      <c r="G48" s="78"/>
      <c r="H48"/>
      <c r="I48"/>
      <c r="J48"/>
      <c r="K48"/>
      <c r="L48"/>
      <c r="M48" s="78"/>
      <c r="N48" s="78"/>
      <c r="O48" s="103"/>
      <c r="P48" s="103"/>
      <c r="Q48" s="103"/>
      <c r="R48" s="103"/>
      <c r="S48" s="137"/>
      <c r="T48" s="78"/>
      <c r="U48" s="78"/>
      <c r="V48" s="100"/>
      <c r="W48" s="78"/>
      <c r="X48" s="78"/>
      <c r="Y48" s="78"/>
      <c r="Z48" s="78"/>
      <c r="AA48" s="78"/>
      <c r="AB48" s="78"/>
    </row>
    <row r="49" spans="3:28" ht="16" x14ac:dyDescent="0.2">
      <c r="C49" s="78"/>
      <c r="D49" s="78"/>
      <c r="E49" s="78"/>
      <c r="F49" s="78"/>
      <c r="G49" s="78"/>
      <c r="H49"/>
      <c r="I49"/>
      <c r="J49"/>
      <c r="K49"/>
      <c r="L49"/>
      <c r="M49" s="78"/>
      <c r="N49" s="78"/>
      <c r="O49" s="103"/>
      <c r="P49" s="103"/>
      <c r="Q49" s="103"/>
      <c r="R49" s="103"/>
      <c r="S49" s="137"/>
      <c r="T49" s="78"/>
      <c r="U49" s="78"/>
      <c r="V49" s="100"/>
      <c r="W49" s="78"/>
      <c r="X49" s="78"/>
      <c r="Y49" s="78"/>
      <c r="Z49" s="78"/>
      <c r="AA49" s="78"/>
      <c r="AB49" s="78"/>
    </row>
    <row r="50" spans="3:28" ht="16" x14ac:dyDescent="0.2">
      <c r="C50" s="78"/>
      <c r="D50" s="78"/>
      <c r="E50" s="78"/>
      <c r="F50" s="78"/>
      <c r="G50" s="78"/>
      <c r="H50"/>
      <c r="I50"/>
      <c r="J50"/>
      <c r="K50"/>
      <c r="L50"/>
      <c r="M50" s="78"/>
      <c r="N50" s="78"/>
      <c r="O50" s="103"/>
      <c r="P50" s="103"/>
      <c r="Q50" s="103"/>
      <c r="R50" s="103"/>
      <c r="S50" s="137"/>
      <c r="T50" s="78"/>
      <c r="U50" s="78"/>
      <c r="V50" s="100"/>
      <c r="W50" s="78"/>
      <c r="X50" s="78"/>
      <c r="Y50" s="78"/>
      <c r="Z50" s="78"/>
      <c r="AA50" s="78"/>
      <c r="AB50" s="78"/>
    </row>
    <row r="51" spans="3:28" ht="16" x14ac:dyDescent="0.2">
      <c r="C51" s="78"/>
      <c r="D51" s="78"/>
      <c r="E51" s="78"/>
      <c r="F51" s="78"/>
      <c r="G51" s="78"/>
      <c r="H51"/>
      <c r="I51"/>
      <c r="J51"/>
      <c r="K51"/>
      <c r="L51"/>
      <c r="M51" s="78"/>
      <c r="N51" s="78"/>
      <c r="O51" s="103"/>
      <c r="P51" s="103"/>
      <c r="Q51" s="103"/>
      <c r="R51" s="103"/>
      <c r="S51" s="137"/>
      <c r="T51" s="78"/>
      <c r="U51" s="78"/>
      <c r="V51" s="100"/>
      <c r="W51" s="78"/>
      <c r="X51" s="78"/>
      <c r="Y51" s="78"/>
      <c r="Z51" s="78"/>
      <c r="AA51" s="78"/>
      <c r="AB51" s="78"/>
    </row>
    <row r="52" spans="3:28" ht="16" x14ac:dyDescent="0.2">
      <c r="C52" s="78"/>
      <c r="D52" s="78"/>
      <c r="E52" s="78"/>
      <c r="F52" s="78"/>
      <c r="G52" s="78"/>
      <c r="H52"/>
      <c r="I52"/>
      <c r="J52"/>
      <c r="K52"/>
      <c r="L52"/>
      <c r="M52" s="78"/>
      <c r="N52" s="78"/>
      <c r="O52" s="103"/>
      <c r="P52" s="103"/>
      <c r="Q52" s="103"/>
      <c r="R52" s="103"/>
      <c r="S52" s="137"/>
      <c r="T52" s="78"/>
      <c r="U52" s="78"/>
      <c r="V52" s="100"/>
      <c r="W52" s="78"/>
      <c r="X52" s="78"/>
      <c r="Y52" s="78"/>
      <c r="Z52" s="78"/>
      <c r="AA52" s="78"/>
      <c r="AB52" s="78"/>
    </row>
    <row r="53" spans="3:28" ht="16" x14ac:dyDescent="0.2">
      <c r="C53" s="78"/>
      <c r="D53" s="78"/>
      <c r="E53" s="78"/>
      <c r="F53" s="78"/>
      <c r="G53" s="78"/>
      <c r="H53"/>
      <c r="I53"/>
      <c r="J53"/>
      <c r="K53"/>
      <c r="L53"/>
      <c r="M53" s="78"/>
      <c r="N53" s="78"/>
      <c r="O53" s="103"/>
      <c r="P53" s="103"/>
      <c r="Q53" s="103"/>
      <c r="R53" s="103"/>
      <c r="S53" s="137"/>
      <c r="T53" s="78"/>
      <c r="U53" s="78"/>
      <c r="V53" s="100"/>
      <c r="W53" s="78"/>
      <c r="X53" s="78"/>
      <c r="Y53" s="78"/>
      <c r="Z53" s="78"/>
      <c r="AA53" s="78"/>
      <c r="AB53" s="78"/>
    </row>
    <row r="54" spans="3:28" ht="16" x14ac:dyDescent="0.2">
      <c r="C54" s="78"/>
      <c r="D54" s="78"/>
      <c r="E54" s="78"/>
      <c r="F54" s="78"/>
      <c r="G54" s="138"/>
      <c r="H54"/>
      <c r="I54"/>
      <c r="J54"/>
      <c r="K54"/>
      <c r="L54"/>
      <c r="M54" s="78"/>
      <c r="N54" s="78"/>
      <c r="O54" s="103"/>
      <c r="P54" s="103"/>
      <c r="Q54" s="103"/>
      <c r="R54" s="103"/>
      <c r="S54" s="137"/>
      <c r="T54" s="78"/>
      <c r="U54" s="78"/>
      <c r="V54" s="100"/>
      <c r="W54" s="78"/>
      <c r="X54" s="78"/>
      <c r="Y54" s="78"/>
      <c r="Z54" s="78"/>
      <c r="AA54" s="78"/>
      <c r="AB54" s="78"/>
    </row>
    <row r="55" spans="3:28" ht="16" x14ac:dyDescent="0.2">
      <c r="C55" s="78"/>
      <c r="D55" s="78"/>
      <c r="E55" s="78"/>
      <c r="F55" s="78"/>
      <c r="G55" s="138"/>
      <c r="H55"/>
      <c r="I55"/>
      <c r="J55"/>
      <c r="K55"/>
      <c r="L55"/>
      <c r="M55" s="78"/>
      <c r="N55" s="78"/>
      <c r="O55" s="103"/>
      <c r="P55" s="103"/>
      <c r="Q55" s="103"/>
      <c r="R55" s="103"/>
      <c r="S55" s="78"/>
      <c r="T55" s="78"/>
      <c r="U55" s="78"/>
      <c r="V55" s="100"/>
      <c r="W55" s="78"/>
      <c r="X55" s="78"/>
      <c r="Y55" s="78"/>
      <c r="Z55" s="78"/>
      <c r="AA55" s="78"/>
      <c r="AB55" s="78"/>
    </row>
    <row r="56" spans="3:28" ht="16" x14ac:dyDescent="0.2">
      <c r="C56" s="78"/>
      <c r="D56" s="78"/>
      <c r="E56" s="78"/>
      <c r="F56" s="78"/>
      <c r="G56" s="138"/>
      <c r="H56"/>
      <c r="I56"/>
      <c r="J56"/>
      <c r="K56"/>
      <c r="L56"/>
      <c r="M56" s="78"/>
      <c r="N56" s="78"/>
      <c r="O56" s="103"/>
      <c r="P56" s="103"/>
      <c r="Q56" s="103"/>
      <c r="R56" s="103"/>
      <c r="S56" s="78"/>
      <c r="T56" s="78"/>
      <c r="U56" s="78"/>
      <c r="V56" s="100"/>
      <c r="W56" s="78"/>
      <c r="X56" s="78"/>
      <c r="Y56" s="78"/>
      <c r="Z56" s="78"/>
      <c r="AA56" s="78"/>
      <c r="AB56" s="78"/>
    </row>
    <row r="57" spans="3:28" ht="16" x14ac:dyDescent="0.2">
      <c r="C57" s="78"/>
      <c r="D57" s="78"/>
      <c r="E57" s="78"/>
      <c r="F57" s="78"/>
      <c r="G57" s="138"/>
      <c r="H57"/>
      <c r="I57"/>
      <c r="J57"/>
      <c r="K57"/>
      <c r="L57"/>
      <c r="M57" s="78"/>
      <c r="N57" s="78"/>
      <c r="O57" s="103"/>
      <c r="P57" s="103"/>
      <c r="Q57" s="103"/>
      <c r="R57" s="103"/>
      <c r="S57" s="78"/>
      <c r="T57" s="78"/>
      <c r="U57" s="78"/>
      <c r="V57" s="100"/>
      <c r="W57" s="78"/>
      <c r="X57" s="78"/>
      <c r="Y57" s="78"/>
      <c r="Z57" s="78"/>
      <c r="AA57" s="78"/>
      <c r="AB57" s="78"/>
    </row>
    <row r="58" spans="3:28" ht="16" x14ac:dyDescent="0.2">
      <c r="C58" s="78"/>
      <c r="D58" s="78"/>
      <c r="E58" s="78"/>
      <c r="F58" s="78"/>
      <c r="G58" s="138"/>
      <c r="H58"/>
      <c r="I58"/>
      <c r="J58"/>
      <c r="K58"/>
      <c r="L58"/>
      <c r="M58" s="78"/>
      <c r="N58" s="78"/>
      <c r="O58" s="103"/>
      <c r="P58" s="103"/>
      <c r="Q58" s="103"/>
      <c r="R58" s="103"/>
      <c r="S58" s="78"/>
      <c r="T58" s="78"/>
      <c r="U58" s="78"/>
      <c r="V58" s="100"/>
      <c r="W58" s="78"/>
      <c r="X58" s="78"/>
      <c r="Y58" s="78"/>
      <c r="Z58" s="78"/>
      <c r="AA58" s="78"/>
      <c r="AB58" s="78"/>
    </row>
    <row r="59" spans="3:28" ht="16" x14ac:dyDescent="0.2">
      <c r="C59" s="78"/>
      <c r="D59" s="78"/>
      <c r="E59" s="78"/>
      <c r="F59" s="78"/>
      <c r="G59" s="78"/>
      <c r="H59"/>
      <c r="I59"/>
      <c r="J59"/>
      <c r="K59"/>
      <c r="L59"/>
      <c r="M59" s="78"/>
      <c r="N59" s="78"/>
      <c r="O59" s="103"/>
      <c r="P59" s="103"/>
      <c r="Q59" s="103"/>
      <c r="R59" s="103"/>
      <c r="S59" s="78"/>
      <c r="T59" s="78"/>
      <c r="U59" s="78"/>
      <c r="V59" s="100"/>
      <c r="W59" s="78"/>
      <c r="X59" s="78"/>
      <c r="Y59" s="78"/>
      <c r="Z59" s="78"/>
      <c r="AA59" s="78"/>
      <c r="AB59" s="78"/>
    </row>
    <row r="60" spans="3:28" ht="16" x14ac:dyDescent="0.2">
      <c r="C60" s="78"/>
      <c r="D60" s="78"/>
      <c r="E60" s="78"/>
      <c r="F60" s="78"/>
      <c r="G60" s="78"/>
      <c r="H60"/>
      <c r="I60"/>
      <c r="J60"/>
      <c r="K60"/>
      <c r="L60"/>
      <c r="M60" s="78"/>
      <c r="N60" s="78"/>
      <c r="O60" s="103"/>
      <c r="P60" s="103"/>
      <c r="Q60" s="103"/>
      <c r="R60" s="103"/>
      <c r="S60" s="78"/>
      <c r="T60" s="78"/>
      <c r="U60" s="78"/>
      <c r="V60" s="100"/>
      <c r="W60" s="78"/>
      <c r="X60" s="78"/>
      <c r="Y60" s="78"/>
      <c r="Z60" s="78"/>
      <c r="AA60" s="78"/>
      <c r="AB60" s="78"/>
    </row>
    <row r="61" spans="3:28" ht="16" x14ac:dyDescent="0.2">
      <c r="C61" s="114"/>
      <c r="D61" s="114"/>
      <c r="H61"/>
      <c r="I61"/>
      <c r="J61"/>
      <c r="K61"/>
      <c r="L61"/>
      <c r="O61" s="139"/>
      <c r="P61" s="139"/>
      <c r="Q61" s="139"/>
      <c r="R61" s="139"/>
      <c r="V61" s="97"/>
    </row>
    <row r="62" spans="3:28" ht="16" x14ac:dyDescent="0.2">
      <c r="H62"/>
      <c r="I62"/>
      <c r="J62"/>
      <c r="K62"/>
      <c r="L62"/>
      <c r="O62" s="80"/>
      <c r="P62" s="80"/>
      <c r="Q62" s="80"/>
      <c r="R62" s="80"/>
      <c r="V62" s="97"/>
    </row>
    <row r="63" spans="3:28" ht="16" x14ac:dyDescent="0.2">
      <c r="C63" s="98"/>
      <c r="D63" s="98"/>
      <c r="H63"/>
      <c r="I63"/>
      <c r="J63"/>
      <c r="K63"/>
      <c r="L63"/>
      <c r="O63" s="80"/>
      <c r="P63" s="80"/>
      <c r="Q63" s="80"/>
      <c r="R63" s="80"/>
      <c r="V63" s="97"/>
    </row>
    <row r="64" spans="3:28" x14ac:dyDescent="0.15">
      <c r="C64" s="98"/>
      <c r="D64" s="98"/>
      <c r="K64" s="97"/>
      <c r="O64" s="80"/>
      <c r="P64" s="80"/>
      <c r="Q64" s="80"/>
      <c r="R64" s="80"/>
      <c r="V64" s="97"/>
    </row>
    <row r="65" spans="3:27" x14ac:dyDescent="0.15">
      <c r="C65" s="98"/>
      <c r="D65" s="98"/>
      <c r="K65" s="97"/>
      <c r="O65" s="80"/>
      <c r="P65" s="80"/>
      <c r="Q65" s="80"/>
      <c r="R65" s="80"/>
      <c r="V65" s="97"/>
    </row>
    <row r="66" spans="3:27" ht="17" x14ac:dyDescent="0.3">
      <c r="K66" s="97"/>
      <c r="O66" s="80"/>
      <c r="P66" s="80"/>
      <c r="Q66" s="80"/>
      <c r="R66" s="80"/>
      <c r="V66" s="97"/>
      <c r="X66" s="140" t="s">
        <v>123</v>
      </c>
      <c r="Y66" s="140"/>
      <c r="Z66" s="140"/>
    </row>
    <row r="67" spans="3:27" ht="17" x14ac:dyDescent="0.3">
      <c r="K67" s="97"/>
      <c r="O67" s="80"/>
      <c r="P67" s="80"/>
      <c r="Q67" s="80"/>
      <c r="R67" s="80"/>
      <c r="V67" s="97"/>
      <c r="Y67" s="77"/>
      <c r="Z67" s="77"/>
      <c r="AA67" s="77"/>
    </row>
    <row r="68" spans="3:27" ht="18" x14ac:dyDescent="0.3">
      <c r="K68" s="97"/>
      <c r="O68" s="80"/>
      <c r="P68" s="80"/>
      <c r="Q68" s="80"/>
      <c r="R68" s="80"/>
      <c r="V68" s="97"/>
      <c r="Y68" s="83">
        <f>$O$4</f>
        <v>45900</v>
      </c>
      <c r="Z68" s="77"/>
      <c r="AA68"/>
    </row>
    <row r="69" spans="3:27" ht="16" x14ac:dyDescent="0.2">
      <c r="X69" s="74" t="str">
        <f t="shared" ref="X69:X93" si="15">C5</f>
        <v>Quantinuum</v>
      </c>
      <c r="Y69" s="141">
        <f t="shared" ref="Y69:Y93" si="16">Y5</f>
        <v>43905</v>
      </c>
      <c r="Z69" s="142">
        <f t="shared" ref="Z69:Z93" si="17">AA5</f>
        <v>-171734.12</v>
      </c>
      <c r="AA69"/>
    </row>
    <row r="70" spans="3:27" ht="16" x14ac:dyDescent="0.2">
      <c r="X70" s="74" t="str">
        <f t="shared" si="15"/>
        <v>Pierisca (Jul-21)</v>
      </c>
      <c r="Y70" s="141">
        <f t="shared" si="16"/>
        <v>44378</v>
      </c>
      <c r="Z70" s="142">
        <f t="shared" si="17"/>
        <v>-62500</v>
      </c>
      <c r="AA70"/>
    </row>
    <row r="71" spans="3:27" ht="16" x14ac:dyDescent="0.2">
      <c r="X71" s="74" t="str">
        <f t="shared" si="15"/>
        <v>Bleximo</v>
      </c>
      <c r="Y71" s="141">
        <f t="shared" si="16"/>
        <v>44792</v>
      </c>
      <c r="Z71" s="142">
        <f t="shared" si="17"/>
        <v>-45000</v>
      </c>
      <c r="AA71"/>
    </row>
    <row r="72" spans="3:27" ht="16" x14ac:dyDescent="0.2">
      <c r="X72" s="74" t="str">
        <f t="shared" si="15"/>
        <v>Natrion</v>
      </c>
      <c r="Y72" s="141">
        <f t="shared" si="16"/>
        <v>44819</v>
      </c>
      <c r="Z72" s="142">
        <f t="shared" si="17"/>
        <v>-17000</v>
      </c>
      <c r="AA72"/>
    </row>
    <row r="73" spans="3:27" ht="16" x14ac:dyDescent="0.2">
      <c r="X73" s="74" t="str">
        <f t="shared" si="15"/>
        <v>Atom Computing</v>
      </c>
      <c r="Y73" s="141">
        <f t="shared" si="16"/>
        <v>44819</v>
      </c>
      <c r="Z73" s="142">
        <f t="shared" si="17"/>
        <v>-2000</v>
      </c>
      <c r="AA73"/>
    </row>
    <row r="74" spans="3:27" ht="16" x14ac:dyDescent="0.2">
      <c r="X74" s="74" t="str">
        <f t="shared" si="15"/>
        <v>TrueFoundry</v>
      </c>
      <c r="Y74" s="141">
        <f t="shared" si="16"/>
        <v>44883</v>
      </c>
      <c r="Z74" s="142">
        <f t="shared" si="17"/>
        <v>-10000</v>
      </c>
      <c r="AA74"/>
    </row>
    <row r="75" spans="3:27" ht="16" x14ac:dyDescent="0.2">
      <c r="X75" s="74" t="str">
        <f t="shared" si="15"/>
        <v>Entheos Network</v>
      </c>
      <c r="Y75" s="141">
        <f t="shared" si="16"/>
        <v>44930</v>
      </c>
      <c r="Z75" s="142">
        <f t="shared" si="17"/>
        <v>-15000</v>
      </c>
      <c r="AA75"/>
    </row>
    <row r="76" spans="3:27" ht="16" x14ac:dyDescent="0.2">
      <c r="X76" s="74" t="str">
        <f t="shared" si="15"/>
        <v>EVE Nexus</v>
      </c>
      <c r="Y76" s="141">
        <f t="shared" si="16"/>
        <v>44964</v>
      </c>
      <c r="Z76" s="142">
        <f t="shared" si="17"/>
        <v>-50000</v>
      </c>
      <c r="AA76"/>
    </row>
    <row r="77" spans="3:27" ht="16" x14ac:dyDescent="0.2">
      <c r="X77" s="74" t="str">
        <f t="shared" si="15"/>
        <v>Figure AI</v>
      </c>
      <c r="Y77" s="141">
        <f t="shared" si="16"/>
        <v>45043</v>
      </c>
      <c r="Z77" s="142">
        <f t="shared" si="17"/>
        <v>-40000</v>
      </c>
      <c r="AA77"/>
    </row>
    <row r="78" spans="3:27" ht="16" x14ac:dyDescent="0.2">
      <c r="X78" s="74" t="str">
        <f t="shared" si="15"/>
        <v>Princeton NuEnergy</v>
      </c>
      <c r="Y78" s="141">
        <f t="shared" si="16"/>
        <v>45099</v>
      </c>
      <c r="Z78" s="142">
        <f t="shared" si="17"/>
        <v>-21000</v>
      </c>
      <c r="AA78"/>
    </row>
    <row r="79" spans="3:27" ht="16" x14ac:dyDescent="0.2">
      <c r="X79" s="74" t="str">
        <f t="shared" si="15"/>
        <v>Piersica (Jul-23)</v>
      </c>
      <c r="Y79" s="141">
        <f t="shared" si="16"/>
        <v>45110</v>
      </c>
      <c r="Z79" s="142">
        <f t="shared" si="17"/>
        <v>-12000</v>
      </c>
      <c r="AA79"/>
    </row>
    <row r="80" spans="3:27" ht="16" x14ac:dyDescent="0.2">
      <c r="X80" s="74" t="str">
        <f t="shared" si="15"/>
        <v>Hephaestus</v>
      </c>
      <c r="Y80" s="141">
        <f t="shared" si="16"/>
        <v>45135</v>
      </c>
      <c r="Z80" s="142">
        <f t="shared" si="17"/>
        <v>-50000</v>
      </c>
      <c r="AA80"/>
    </row>
    <row r="81" spans="24:27" ht="16" x14ac:dyDescent="0.2">
      <c r="X81" s="74" t="str">
        <f t="shared" si="15"/>
        <v>Innerworks</v>
      </c>
      <c r="Y81" s="141">
        <f t="shared" si="16"/>
        <v>45259</v>
      </c>
      <c r="Z81" s="142">
        <f t="shared" si="17"/>
        <v>-20000</v>
      </c>
      <c r="AA81"/>
    </row>
    <row r="82" spans="24:27" ht="16" x14ac:dyDescent="0.2">
      <c r="X82" s="74" t="str">
        <f t="shared" si="15"/>
        <v>Dirac</v>
      </c>
      <c r="Y82" s="141">
        <f t="shared" si="16"/>
        <v>45260</v>
      </c>
      <c r="Z82" s="142">
        <f t="shared" si="17"/>
        <v>-20000</v>
      </c>
      <c r="AA82"/>
    </row>
    <row r="83" spans="24:27" ht="16" x14ac:dyDescent="0.2">
      <c r="X83" s="74" t="str">
        <f t="shared" si="15"/>
        <v>Marathon Fusion</v>
      </c>
      <c r="Y83" s="141">
        <f t="shared" si="16"/>
        <v>45294</v>
      </c>
      <c r="Z83" s="142">
        <f t="shared" si="17"/>
        <v>-12000</v>
      </c>
      <c r="AA83"/>
    </row>
    <row r="84" spans="24:27" ht="16" x14ac:dyDescent="0.2">
      <c r="X84" s="74" t="str">
        <f t="shared" si="15"/>
        <v>Normal Computing (1)</v>
      </c>
      <c r="Y84" s="141">
        <f t="shared" si="16"/>
        <v>45381</v>
      </c>
      <c r="Z84" s="142">
        <f t="shared" si="17"/>
        <v>-29500</v>
      </c>
      <c r="AA84"/>
    </row>
    <row r="85" spans="24:27" ht="16" x14ac:dyDescent="0.2">
      <c r="X85" s="74" t="str">
        <f t="shared" si="15"/>
        <v>Primitive</v>
      </c>
      <c r="Y85" s="141">
        <f t="shared" si="16"/>
        <v>45420</v>
      </c>
      <c r="Z85" s="142">
        <f t="shared" si="17"/>
        <v>-15000</v>
      </c>
      <c r="AA85"/>
    </row>
    <row r="86" spans="24:27" ht="16" x14ac:dyDescent="0.2">
      <c r="X86" s="74" t="str">
        <f t="shared" si="15"/>
        <v>Blue Energy</v>
      </c>
      <c r="Y86" s="141">
        <f t="shared" si="16"/>
        <v>45460</v>
      </c>
      <c r="Z86" s="142">
        <f t="shared" si="17"/>
        <v>-20000</v>
      </c>
      <c r="AA86"/>
    </row>
    <row r="87" spans="24:27" ht="16" x14ac:dyDescent="0.2">
      <c r="X87" s="74" t="str">
        <f t="shared" si="15"/>
        <v>Archera</v>
      </c>
      <c r="Y87" s="141">
        <f t="shared" si="16"/>
        <v>45476</v>
      </c>
      <c r="Z87" s="142">
        <f t="shared" si="17"/>
        <v>-50000</v>
      </c>
      <c r="AA87"/>
    </row>
    <row r="88" spans="24:27" ht="16" x14ac:dyDescent="0.2">
      <c r="X88" s="74" t="str">
        <f t="shared" si="15"/>
        <v>Zap Energy</v>
      </c>
      <c r="Y88" s="141">
        <f t="shared" si="16"/>
        <v>45488</v>
      </c>
      <c r="Z88" s="142">
        <f t="shared" si="17"/>
        <v>-140000</v>
      </c>
      <c r="AA88"/>
    </row>
    <row r="89" spans="24:27" ht="16" x14ac:dyDescent="0.2">
      <c r="X89" s="74" t="str">
        <f t="shared" si="15"/>
        <v>Valar Atomics</v>
      </c>
      <c r="Y89" s="141">
        <f t="shared" si="16"/>
        <v>45576</v>
      </c>
      <c r="Z89" s="142">
        <f t="shared" si="17"/>
        <v>-20000</v>
      </c>
      <c r="AA89"/>
    </row>
    <row r="90" spans="24:27" ht="16" x14ac:dyDescent="0.2">
      <c r="X90" s="74" t="str">
        <f t="shared" si="15"/>
        <v>Composite Security</v>
      </c>
      <c r="Y90" s="141">
        <f t="shared" si="16"/>
        <v>45686</v>
      </c>
      <c r="Z90" s="142">
        <f t="shared" si="17"/>
        <v>-40000</v>
      </c>
      <c r="AA90"/>
    </row>
    <row r="91" spans="24:27" ht="16" x14ac:dyDescent="0.2">
      <c r="X91" s="74" t="str">
        <f t="shared" si="15"/>
        <v>Antithesis</v>
      </c>
      <c r="Y91" s="141">
        <f t="shared" si="16"/>
        <v>45747</v>
      </c>
      <c r="Z91" s="142">
        <f t="shared" si="17"/>
        <v>-71540</v>
      </c>
      <c r="AA91"/>
    </row>
    <row r="92" spans="24:27" ht="16" x14ac:dyDescent="0.2">
      <c r="X92" s="74" t="str">
        <f t="shared" si="15"/>
        <v>Haiqu</v>
      </c>
      <c r="Y92" s="141">
        <f t="shared" si="16"/>
        <v>45812</v>
      </c>
      <c r="Z92" s="142">
        <f t="shared" si="17"/>
        <v>-20000</v>
      </c>
      <c r="AA92"/>
    </row>
    <row r="93" spans="24:27" ht="17" thickBot="1" x14ac:dyDescent="0.25">
      <c r="X93" s="143" t="str">
        <f t="shared" si="15"/>
        <v>Outtake</v>
      </c>
      <c r="Y93" s="149">
        <f t="shared" si="16"/>
        <v>45839</v>
      </c>
      <c r="Z93" s="150">
        <f t="shared" si="17"/>
        <v>-5000</v>
      </c>
      <c r="AA93"/>
    </row>
    <row r="94" spans="24:27" ht="16" x14ac:dyDescent="0.2">
      <c r="X94" s="74" t="str">
        <f t="shared" ref="X94:X118" si="18">C5</f>
        <v>Quantinuum</v>
      </c>
      <c r="Y94" s="141">
        <f>Z5</f>
        <v>45900</v>
      </c>
      <c r="Z94" s="142">
        <f>AB5</f>
        <v>2559810.4679245278</v>
      </c>
      <c r="AA94"/>
    </row>
    <row r="95" spans="24:27" ht="16" x14ac:dyDescent="0.2">
      <c r="X95" s="74" t="str">
        <f t="shared" si="18"/>
        <v>Pierisca (Jul-21)</v>
      </c>
      <c r="Y95" s="141">
        <f>Z6</f>
        <v>45900</v>
      </c>
      <c r="Z95" s="142">
        <f>AB6</f>
        <v>293750</v>
      </c>
      <c r="AA95"/>
    </row>
    <row r="96" spans="24:27" ht="16" x14ac:dyDescent="0.2">
      <c r="X96" s="74" t="str">
        <f t="shared" si="18"/>
        <v>Bleximo</v>
      </c>
      <c r="Y96" s="141">
        <f>Z7</f>
        <v>45900</v>
      </c>
      <c r="Z96" s="142">
        <f>AB7</f>
        <v>0</v>
      </c>
      <c r="AA96"/>
    </row>
    <row r="97" spans="24:27" ht="16" x14ac:dyDescent="0.2">
      <c r="X97" s="74" t="str">
        <f t="shared" si="18"/>
        <v>Natrion</v>
      </c>
      <c r="Y97" s="141">
        <f>Z8</f>
        <v>45900</v>
      </c>
      <c r="Z97" s="142">
        <f>AB8</f>
        <v>35416.666666666672</v>
      </c>
      <c r="AA97"/>
    </row>
    <row r="98" spans="24:27" ht="16" x14ac:dyDescent="0.2">
      <c r="X98" s="74" t="str">
        <f t="shared" si="18"/>
        <v>Atom Computing</v>
      </c>
      <c r="Y98" s="141">
        <f t="shared" ref="Y98:Y118" si="19">Z9</f>
        <v>45900</v>
      </c>
      <c r="Z98" s="142">
        <f t="shared" ref="Z98:Z117" si="20">AB9</f>
        <v>2000</v>
      </c>
      <c r="AA98"/>
    </row>
    <row r="99" spans="24:27" ht="16" x14ac:dyDescent="0.2">
      <c r="X99" s="74" t="str">
        <f t="shared" si="18"/>
        <v>TrueFoundry</v>
      </c>
      <c r="Y99" s="141">
        <f t="shared" si="19"/>
        <v>45900</v>
      </c>
      <c r="Z99" s="142">
        <f t="shared" si="20"/>
        <v>15000</v>
      </c>
      <c r="AA99"/>
    </row>
    <row r="100" spans="24:27" ht="16" x14ac:dyDescent="0.2">
      <c r="X100" s="74" t="str">
        <f t="shared" si="18"/>
        <v>Entheos Network</v>
      </c>
      <c r="Y100" s="141">
        <f t="shared" si="19"/>
        <v>45900</v>
      </c>
      <c r="Z100" s="142">
        <f t="shared" si="20"/>
        <v>0</v>
      </c>
      <c r="AA100"/>
    </row>
    <row r="101" spans="24:27" ht="16" x14ac:dyDescent="0.2">
      <c r="X101" s="74" t="str">
        <f t="shared" si="18"/>
        <v>EVE Nexus</v>
      </c>
      <c r="Y101" s="141">
        <f t="shared" si="19"/>
        <v>45900</v>
      </c>
      <c r="Z101" s="142">
        <f t="shared" si="20"/>
        <v>91666.666666666657</v>
      </c>
      <c r="AA101"/>
    </row>
    <row r="102" spans="24:27" ht="16" x14ac:dyDescent="0.2">
      <c r="X102" s="74" t="str">
        <f t="shared" si="18"/>
        <v>Figure AI</v>
      </c>
      <c r="Y102" s="141">
        <f t="shared" si="19"/>
        <v>45900</v>
      </c>
      <c r="Z102" s="142">
        <f t="shared" si="20"/>
        <v>2236205.1282051285</v>
      </c>
      <c r="AA102"/>
    </row>
    <row r="103" spans="24:27" ht="16" x14ac:dyDescent="0.2">
      <c r="X103" s="74" t="str">
        <f t="shared" si="18"/>
        <v>Princeton NuEnergy</v>
      </c>
      <c r="Y103" s="141">
        <f t="shared" si="19"/>
        <v>45900</v>
      </c>
      <c r="Z103" s="142">
        <f t="shared" si="20"/>
        <v>23423.307250000005</v>
      </c>
      <c r="AA103"/>
    </row>
    <row r="104" spans="24:27" ht="16" x14ac:dyDescent="0.2">
      <c r="X104" s="74" t="str">
        <f t="shared" si="18"/>
        <v>Piersica (Jul-23)</v>
      </c>
      <c r="Y104" s="141">
        <f t="shared" si="19"/>
        <v>45900</v>
      </c>
      <c r="Z104" s="142">
        <f t="shared" si="20"/>
        <v>29684.21052631579</v>
      </c>
      <c r="AA104"/>
    </row>
    <row r="105" spans="24:27" ht="16" x14ac:dyDescent="0.2">
      <c r="X105" s="74" t="str">
        <f t="shared" si="18"/>
        <v>Hephaestus</v>
      </c>
      <c r="Y105" s="141">
        <f t="shared" si="19"/>
        <v>45900</v>
      </c>
      <c r="Z105" s="142">
        <f t="shared" si="20"/>
        <v>446249.99999999994</v>
      </c>
      <c r="AA105"/>
    </row>
    <row r="106" spans="24:27" ht="16" x14ac:dyDescent="0.2">
      <c r="X106" s="74" t="str">
        <f t="shared" si="18"/>
        <v>Innerworks</v>
      </c>
      <c r="Y106" s="141">
        <f t="shared" si="19"/>
        <v>45900</v>
      </c>
      <c r="Z106" s="142">
        <f t="shared" si="20"/>
        <v>71076.923076923078</v>
      </c>
      <c r="AA106"/>
    </row>
    <row r="107" spans="24:27" ht="16" x14ac:dyDescent="0.2">
      <c r="X107" s="74" t="str">
        <f t="shared" si="18"/>
        <v>Dirac</v>
      </c>
      <c r="Y107" s="141">
        <f t="shared" si="19"/>
        <v>45900</v>
      </c>
      <c r="Z107" s="142">
        <f t="shared" si="20"/>
        <v>47561.797752808998</v>
      </c>
      <c r="AA107"/>
    </row>
    <row r="108" spans="24:27" ht="16" x14ac:dyDescent="0.2">
      <c r="X108" s="74" t="str">
        <f t="shared" si="18"/>
        <v>Marathon Fusion</v>
      </c>
      <c r="Y108" s="141">
        <f t="shared" si="19"/>
        <v>45900</v>
      </c>
      <c r="Z108" s="142">
        <f t="shared" si="20"/>
        <v>12000</v>
      </c>
      <c r="AA108"/>
    </row>
    <row r="109" spans="24:27" ht="16" x14ac:dyDescent="0.2">
      <c r="X109" s="74" t="str">
        <f t="shared" si="18"/>
        <v>Normal Computing (1)</v>
      </c>
      <c r="Y109" s="141">
        <f t="shared" si="19"/>
        <v>45900</v>
      </c>
      <c r="Z109" s="142">
        <f t="shared" si="20"/>
        <v>70000</v>
      </c>
      <c r="AA109"/>
    </row>
    <row r="110" spans="24:27" ht="16" x14ac:dyDescent="0.2">
      <c r="X110" s="74" t="str">
        <f t="shared" si="18"/>
        <v>Primitive</v>
      </c>
      <c r="Y110" s="141">
        <f t="shared" si="19"/>
        <v>45900</v>
      </c>
      <c r="Z110" s="142">
        <f t="shared" si="20"/>
        <v>34687.5</v>
      </c>
      <c r="AA110"/>
    </row>
    <row r="111" spans="24:27" ht="16" x14ac:dyDescent="0.2">
      <c r="X111" s="74" t="str">
        <f t="shared" si="18"/>
        <v>Blue Energy</v>
      </c>
      <c r="Y111" s="141">
        <f t="shared" si="19"/>
        <v>45900</v>
      </c>
      <c r="Z111" s="142">
        <f t="shared" si="20"/>
        <v>20000</v>
      </c>
      <c r="AA111"/>
    </row>
    <row r="112" spans="24:27" ht="16" x14ac:dyDescent="0.2">
      <c r="X112" s="74" t="str">
        <f t="shared" si="18"/>
        <v>Archera</v>
      </c>
      <c r="Y112" s="141">
        <f t="shared" si="19"/>
        <v>45900</v>
      </c>
      <c r="Z112" s="142">
        <f t="shared" si="20"/>
        <v>50000</v>
      </c>
      <c r="AA112"/>
    </row>
    <row r="113" spans="24:27" ht="16" x14ac:dyDescent="0.2">
      <c r="X113" s="74" t="str">
        <f t="shared" si="18"/>
        <v>Zap Energy</v>
      </c>
      <c r="Y113" s="141">
        <f t="shared" si="19"/>
        <v>45900</v>
      </c>
      <c r="Z113" s="142">
        <f t="shared" si="20"/>
        <v>140000</v>
      </c>
      <c r="AA113"/>
    </row>
    <row r="114" spans="24:27" ht="16" x14ac:dyDescent="0.2">
      <c r="X114" s="74" t="str">
        <f t="shared" si="18"/>
        <v>Valar Atomics</v>
      </c>
      <c r="Y114" s="141">
        <f t="shared" si="19"/>
        <v>45900</v>
      </c>
      <c r="Z114" s="142">
        <f t="shared" si="20"/>
        <v>133333.33333333334</v>
      </c>
      <c r="AA114"/>
    </row>
    <row r="115" spans="24:27" ht="16" x14ac:dyDescent="0.2">
      <c r="X115" s="74" t="str">
        <f t="shared" si="18"/>
        <v>Composite Security</v>
      </c>
      <c r="Y115" s="141">
        <f t="shared" si="19"/>
        <v>45900</v>
      </c>
      <c r="Z115" s="142">
        <f t="shared" si="20"/>
        <v>40000</v>
      </c>
      <c r="AA115"/>
    </row>
    <row r="116" spans="24:27" ht="16" x14ac:dyDescent="0.2">
      <c r="X116" s="74" t="str">
        <f t="shared" si="18"/>
        <v>Antithesis</v>
      </c>
      <c r="Y116" s="141">
        <f t="shared" si="19"/>
        <v>45900</v>
      </c>
      <c r="Z116" s="142">
        <f t="shared" si="20"/>
        <v>82365.131578947359</v>
      </c>
      <c r="AA116"/>
    </row>
    <row r="117" spans="24:27" ht="16" x14ac:dyDescent="0.2">
      <c r="X117" s="74" t="str">
        <f t="shared" si="18"/>
        <v>Haiqu</v>
      </c>
      <c r="Y117" s="141">
        <f t="shared" si="19"/>
        <v>45900</v>
      </c>
      <c r="Z117" s="142">
        <f t="shared" si="20"/>
        <v>20000</v>
      </c>
      <c r="AA117"/>
    </row>
    <row r="118" spans="24:27" ht="16" x14ac:dyDescent="0.2">
      <c r="X118" s="74" t="str">
        <f t="shared" si="18"/>
        <v>Outtake</v>
      </c>
      <c r="Y118" s="141">
        <f t="shared" si="19"/>
        <v>45900</v>
      </c>
      <c r="Z118" s="142">
        <f t="shared" ref="Z118" si="21">AB29</f>
        <v>5000</v>
      </c>
      <c r="AA118"/>
    </row>
    <row r="119" spans="24:27" ht="16" x14ac:dyDescent="0.2">
      <c r="Y119" s="141"/>
      <c r="Z119" s="142"/>
      <c r="AA119"/>
    </row>
    <row r="120" spans="24:27" ht="18" x14ac:dyDescent="0.3">
      <c r="Y120" s="144"/>
      <c r="Z120" s="163">
        <f>$O$4</f>
        <v>45900</v>
      </c>
      <c r="AA120"/>
    </row>
    <row r="121" spans="24:27" ht="16" x14ac:dyDescent="0.2">
      <c r="Y121" s="145" t="s">
        <v>41</v>
      </c>
      <c r="Z121" s="146">
        <f>XIRR(Z69:Z118,Y69:Y118)</f>
        <v>0.76466189622879033</v>
      </c>
      <c r="AA121"/>
    </row>
    <row r="122" spans="24:27" ht="16" x14ac:dyDescent="0.2">
      <c r="AA122"/>
    </row>
    <row r="123" spans="24:27" ht="17" thickBot="1" x14ac:dyDescent="0.25">
      <c r="X123" s="143"/>
      <c r="Y123" s="143"/>
      <c r="Z123" s="143"/>
      <c r="AA123"/>
    </row>
    <row r="124" spans="24:27" ht="16" x14ac:dyDescent="0.2">
      <c r="AA124"/>
    </row>
    <row r="125" spans="24:27" ht="16" x14ac:dyDescent="0.2">
      <c r="X125" s="114" t="s">
        <v>203</v>
      </c>
      <c r="AA125"/>
    </row>
    <row r="126" spans="24:27" ht="16" x14ac:dyDescent="0.2">
      <c r="X126" s="74" t="str">
        <f t="shared" ref="X126:Z143" si="22">X69</f>
        <v>Quantinuum</v>
      </c>
      <c r="Y126" s="141">
        <f t="shared" si="22"/>
        <v>43905</v>
      </c>
      <c r="Z126" s="142">
        <f t="shared" si="22"/>
        <v>-171734.12</v>
      </c>
      <c r="AA126"/>
    </row>
    <row r="127" spans="24:27" ht="16" x14ac:dyDescent="0.2">
      <c r="X127" s="74" t="str">
        <f t="shared" si="22"/>
        <v>Pierisca (Jul-21)</v>
      </c>
      <c r="Y127" s="141">
        <f t="shared" si="22"/>
        <v>44378</v>
      </c>
      <c r="Z127" s="142">
        <f t="shared" si="22"/>
        <v>-62500</v>
      </c>
      <c r="AA127"/>
    </row>
    <row r="128" spans="24:27" ht="16" x14ac:dyDescent="0.2">
      <c r="X128" s="74" t="str">
        <f t="shared" si="22"/>
        <v>Bleximo</v>
      </c>
      <c r="Y128" s="141">
        <f t="shared" si="22"/>
        <v>44792</v>
      </c>
      <c r="Z128" s="142">
        <f t="shared" si="22"/>
        <v>-45000</v>
      </c>
      <c r="AA128"/>
    </row>
    <row r="129" spans="24:27" ht="16" x14ac:dyDescent="0.2">
      <c r="X129" s="74" t="str">
        <f t="shared" si="22"/>
        <v>Natrion</v>
      </c>
      <c r="Y129" s="141">
        <f t="shared" si="22"/>
        <v>44819</v>
      </c>
      <c r="Z129" s="142">
        <f t="shared" si="22"/>
        <v>-17000</v>
      </c>
      <c r="AA129"/>
    </row>
    <row r="130" spans="24:27" ht="16" x14ac:dyDescent="0.2">
      <c r="X130" s="74" t="str">
        <f t="shared" si="22"/>
        <v>Atom Computing</v>
      </c>
      <c r="Y130" s="141">
        <f t="shared" si="22"/>
        <v>44819</v>
      </c>
      <c r="Z130" s="142">
        <f t="shared" si="22"/>
        <v>-2000</v>
      </c>
      <c r="AA130"/>
    </row>
    <row r="131" spans="24:27" ht="16" x14ac:dyDescent="0.2">
      <c r="X131" s="74" t="str">
        <f t="shared" si="22"/>
        <v>TrueFoundry</v>
      </c>
      <c r="Y131" s="141">
        <f t="shared" si="22"/>
        <v>44883</v>
      </c>
      <c r="Z131" s="142">
        <f t="shared" si="22"/>
        <v>-10000</v>
      </c>
      <c r="AA131"/>
    </row>
    <row r="132" spans="24:27" ht="16" x14ac:dyDescent="0.2">
      <c r="X132" s="74" t="str">
        <f t="shared" si="22"/>
        <v>Entheos Network</v>
      </c>
      <c r="Y132" s="141">
        <f t="shared" si="22"/>
        <v>44930</v>
      </c>
      <c r="Z132" s="142">
        <f t="shared" si="22"/>
        <v>-15000</v>
      </c>
      <c r="AA132"/>
    </row>
    <row r="133" spans="24:27" ht="16" x14ac:dyDescent="0.2">
      <c r="X133" s="74" t="str">
        <f t="shared" si="22"/>
        <v>EVE Nexus</v>
      </c>
      <c r="Y133" s="141">
        <f t="shared" si="22"/>
        <v>44964</v>
      </c>
      <c r="Z133" s="142">
        <f t="shared" si="22"/>
        <v>-50000</v>
      </c>
      <c r="AA133"/>
    </row>
    <row r="134" spans="24:27" ht="16" x14ac:dyDescent="0.2">
      <c r="X134" s="74" t="str">
        <f t="shared" si="22"/>
        <v>Figure AI</v>
      </c>
      <c r="Y134" s="141">
        <f t="shared" si="22"/>
        <v>45043</v>
      </c>
      <c r="Z134" s="142">
        <f t="shared" si="22"/>
        <v>-40000</v>
      </c>
      <c r="AA134"/>
    </row>
    <row r="135" spans="24:27" ht="16" x14ac:dyDescent="0.2">
      <c r="X135" s="74" t="str">
        <f t="shared" si="22"/>
        <v>Princeton NuEnergy</v>
      </c>
      <c r="Y135" s="141">
        <f t="shared" si="22"/>
        <v>45099</v>
      </c>
      <c r="Z135" s="142">
        <f t="shared" si="22"/>
        <v>-21000</v>
      </c>
      <c r="AA135"/>
    </row>
    <row r="136" spans="24:27" ht="16" x14ac:dyDescent="0.2">
      <c r="X136" s="74" t="str">
        <f t="shared" si="22"/>
        <v>Piersica (Jul-23)</v>
      </c>
      <c r="Y136" s="141">
        <f t="shared" si="22"/>
        <v>45110</v>
      </c>
      <c r="Z136" s="142">
        <f t="shared" si="22"/>
        <v>-12000</v>
      </c>
      <c r="AA136"/>
    </row>
    <row r="137" spans="24:27" ht="16" x14ac:dyDescent="0.2">
      <c r="X137" s="74" t="str">
        <f t="shared" si="22"/>
        <v>Hephaestus</v>
      </c>
      <c r="Y137" s="141">
        <f t="shared" si="22"/>
        <v>45135</v>
      </c>
      <c r="Z137" s="142">
        <f t="shared" si="22"/>
        <v>-50000</v>
      </c>
      <c r="AA137"/>
    </row>
    <row r="138" spans="24:27" ht="16" x14ac:dyDescent="0.2">
      <c r="X138" s="74" t="str">
        <f t="shared" si="22"/>
        <v>Innerworks</v>
      </c>
      <c r="Y138" s="141">
        <f t="shared" si="22"/>
        <v>45259</v>
      </c>
      <c r="Z138" s="142">
        <f t="shared" si="22"/>
        <v>-20000</v>
      </c>
      <c r="AA138"/>
    </row>
    <row r="139" spans="24:27" ht="16" x14ac:dyDescent="0.2">
      <c r="X139" s="74" t="str">
        <f t="shared" si="22"/>
        <v>Dirac</v>
      </c>
      <c r="Y139" s="141">
        <f t="shared" si="22"/>
        <v>45260</v>
      </c>
      <c r="Z139" s="142">
        <f t="shared" si="22"/>
        <v>-20000</v>
      </c>
      <c r="AA139"/>
    </row>
    <row r="140" spans="24:27" ht="16" x14ac:dyDescent="0.2">
      <c r="X140" s="74" t="str">
        <f t="shared" si="22"/>
        <v>Marathon Fusion</v>
      </c>
      <c r="Y140" s="141">
        <f t="shared" si="22"/>
        <v>45294</v>
      </c>
      <c r="Z140" s="142">
        <f t="shared" si="22"/>
        <v>-12000</v>
      </c>
      <c r="AA140"/>
    </row>
    <row r="141" spans="24:27" ht="16" x14ac:dyDescent="0.2">
      <c r="X141" s="74" t="str">
        <f t="shared" si="22"/>
        <v>Normal Computing (1)</v>
      </c>
      <c r="Y141" s="141">
        <f t="shared" si="22"/>
        <v>45381</v>
      </c>
      <c r="Z141" s="142">
        <f t="shared" si="22"/>
        <v>-29500</v>
      </c>
      <c r="AA141"/>
    </row>
    <row r="142" spans="24:27" ht="16" x14ac:dyDescent="0.2">
      <c r="X142" s="74" t="str">
        <f t="shared" si="22"/>
        <v>Primitive</v>
      </c>
      <c r="Y142" s="141">
        <f t="shared" si="22"/>
        <v>45420</v>
      </c>
      <c r="Z142" s="142">
        <f t="shared" si="22"/>
        <v>-15000</v>
      </c>
      <c r="AA142"/>
    </row>
    <row r="143" spans="24:27" ht="16" x14ac:dyDescent="0.2">
      <c r="X143" s="74" t="str">
        <f t="shared" si="22"/>
        <v>Blue Energy</v>
      </c>
      <c r="Y143" s="141">
        <f t="shared" si="22"/>
        <v>45460</v>
      </c>
      <c r="Z143" s="142">
        <f t="shared" si="22"/>
        <v>-20000</v>
      </c>
      <c r="AA143"/>
    </row>
    <row r="144" spans="24:27" ht="16" x14ac:dyDescent="0.2">
      <c r="X144" s="74" t="str">
        <f t="shared" ref="X144:Z144" si="23">X87</f>
        <v>Archera</v>
      </c>
      <c r="Y144" s="141">
        <f t="shared" si="23"/>
        <v>45476</v>
      </c>
      <c r="Z144" s="142">
        <f t="shared" si="23"/>
        <v>-50000</v>
      </c>
      <c r="AA144"/>
    </row>
    <row r="145" spans="24:27" ht="16" x14ac:dyDescent="0.2">
      <c r="X145" s="74" t="str">
        <f t="shared" ref="X145:Z145" si="24">X88</f>
        <v>Zap Energy</v>
      </c>
      <c r="Y145" s="141">
        <f t="shared" si="24"/>
        <v>45488</v>
      </c>
      <c r="Z145" s="142">
        <f t="shared" si="24"/>
        <v>-140000</v>
      </c>
      <c r="AA145"/>
    </row>
    <row r="146" spans="24:27" ht="16" x14ac:dyDescent="0.2">
      <c r="X146" s="74" t="str">
        <f t="shared" ref="X146:Z153" si="25">X94</f>
        <v>Quantinuum</v>
      </c>
      <c r="Y146" s="141">
        <f t="shared" si="25"/>
        <v>45900</v>
      </c>
      <c r="Z146" s="142">
        <f t="shared" si="25"/>
        <v>2559810.4679245278</v>
      </c>
      <c r="AA146"/>
    </row>
    <row r="147" spans="24:27" ht="16" x14ac:dyDescent="0.2">
      <c r="X147" s="74" t="str">
        <f t="shared" si="25"/>
        <v>Pierisca (Jul-21)</v>
      </c>
      <c r="Y147" s="141">
        <f t="shared" si="25"/>
        <v>45900</v>
      </c>
      <c r="Z147" s="142">
        <f t="shared" si="25"/>
        <v>293750</v>
      </c>
      <c r="AA147"/>
    </row>
    <row r="148" spans="24:27" ht="16" x14ac:dyDescent="0.2">
      <c r="X148" s="74" t="str">
        <f t="shared" si="25"/>
        <v>Bleximo</v>
      </c>
      <c r="Y148" s="141">
        <f t="shared" si="25"/>
        <v>45900</v>
      </c>
      <c r="Z148" s="142">
        <f t="shared" si="25"/>
        <v>0</v>
      </c>
      <c r="AA148"/>
    </row>
    <row r="149" spans="24:27" ht="16" x14ac:dyDescent="0.2">
      <c r="X149" s="74" t="str">
        <f t="shared" si="25"/>
        <v>Natrion</v>
      </c>
      <c r="Y149" s="141">
        <f t="shared" si="25"/>
        <v>45900</v>
      </c>
      <c r="Z149" s="142">
        <f t="shared" si="25"/>
        <v>35416.666666666672</v>
      </c>
      <c r="AA149"/>
    </row>
    <row r="150" spans="24:27" ht="16" x14ac:dyDescent="0.2">
      <c r="X150" s="74" t="str">
        <f t="shared" si="25"/>
        <v>Atom Computing</v>
      </c>
      <c r="Y150" s="141">
        <f t="shared" si="25"/>
        <v>45900</v>
      </c>
      <c r="Z150" s="142">
        <f t="shared" si="25"/>
        <v>2000</v>
      </c>
      <c r="AA150"/>
    </row>
    <row r="151" spans="24:27" ht="16" x14ac:dyDescent="0.2">
      <c r="X151" s="74" t="str">
        <f t="shared" si="25"/>
        <v>TrueFoundry</v>
      </c>
      <c r="Y151" s="141">
        <f t="shared" si="25"/>
        <v>45900</v>
      </c>
      <c r="Z151" s="142">
        <f t="shared" si="25"/>
        <v>15000</v>
      </c>
      <c r="AA151"/>
    </row>
    <row r="152" spans="24:27" ht="16" x14ac:dyDescent="0.2">
      <c r="X152" s="74" t="str">
        <f t="shared" si="25"/>
        <v>Entheos Network</v>
      </c>
      <c r="Y152" s="141">
        <f t="shared" si="25"/>
        <v>45900</v>
      </c>
      <c r="Z152" s="142">
        <f t="shared" si="25"/>
        <v>0</v>
      </c>
      <c r="AA152"/>
    </row>
    <row r="153" spans="24:27" ht="16" x14ac:dyDescent="0.2">
      <c r="X153" s="74" t="str">
        <f t="shared" si="25"/>
        <v>EVE Nexus</v>
      </c>
      <c r="Y153" s="141">
        <f t="shared" si="25"/>
        <v>45900</v>
      </c>
      <c r="Z153" s="142">
        <f t="shared" si="25"/>
        <v>91666.666666666657</v>
      </c>
      <c r="AA153"/>
    </row>
    <row r="154" spans="24:27" ht="16" x14ac:dyDescent="0.2">
      <c r="X154" s="74" t="str">
        <f t="shared" ref="X154:Z154" si="26">X102</f>
        <v>Figure AI</v>
      </c>
      <c r="Y154" s="141">
        <f t="shared" si="26"/>
        <v>45900</v>
      </c>
      <c r="Z154" s="142">
        <f t="shared" si="26"/>
        <v>2236205.1282051285</v>
      </c>
      <c r="AA154"/>
    </row>
    <row r="155" spans="24:27" ht="16" x14ac:dyDescent="0.2">
      <c r="X155" s="74" t="str">
        <f t="shared" ref="X155:Z155" si="27">X103</f>
        <v>Princeton NuEnergy</v>
      </c>
      <c r="Y155" s="141">
        <f t="shared" si="27"/>
        <v>45900</v>
      </c>
      <c r="Z155" s="142">
        <f t="shared" si="27"/>
        <v>23423.307250000005</v>
      </c>
      <c r="AA155"/>
    </row>
    <row r="156" spans="24:27" ht="16" x14ac:dyDescent="0.2">
      <c r="X156" s="74" t="str">
        <f t="shared" ref="X156:Z156" si="28">X104</f>
        <v>Piersica (Jul-23)</v>
      </c>
      <c r="Y156" s="141">
        <f t="shared" si="28"/>
        <v>45900</v>
      </c>
      <c r="Z156" s="142">
        <f t="shared" si="28"/>
        <v>29684.21052631579</v>
      </c>
      <c r="AA156"/>
    </row>
    <row r="157" spans="24:27" ht="16" x14ac:dyDescent="0.2">
      <c r="X157" s="74" t="str">
        <f t="shared" ref="X157:Z157" si="29">X105</f>
        <v>Hephaestus</v>
      </c>
      <c r="Y157" s="141">
        <f t="shared" si="29"/>
        <v>45900</v>
      </c>
      <c r="Z157" s="142">
        <f t="shared" si="29"/>
        <v>446249.99999999994</v>
      </c>
      <c r="AA157"/>
    </row>
    <row r="158" spans="24:27" ht="16" x14ac:dyDescent="0.2">
      <c r="X158" s="74" t="str">
        <f t="shared" ref="X158:Z158" si="30">X106</f>
        <v>Innerworks</v>
      </c>
      <c r="Y158" s="141">
        <f t="shared" si="30"/>
        <v>45900</v>
      </c>
      <c r="Z158" s="142">
        <f t="shared" si="30"/>
        <v>71076.923076923078</v>
      </c>
      <c r="AA158"/>
    </row>
    <row r="159" spans="24:27" ht="16" x14ac:dyDescent="0.2">
      <c r="X159" s="74" t="str">
        <f t="shared" ref="X159:Z159" si="31">X107</f>
        <v>Dirac</v>
      </c>
      <c r="Y159" s="141">
        <f t="shared" si="31"/>
        <v>45900</v>
      </c>
      <c r="Z159" s="142">
        <f t="shared" si="31"/>
        <v>47561.797752808998</v>
      </c>
      <c r="AA159"/>
    </row>
    <row r="160" spans="24:27" ht="16" x14ac:dyDescent="0.2">
      <c r="X160" s="74" t="str">
        <f t="shared" ref="X160:Z160" si="32">X108</f>
        <v>Marathon Fusion</v>
      </c>
      <c r="Y160" s="141">
        <f t="shared" si="32"/>
        <v>45900</v>
      </c>
      <c r="Z160" s="142">
        <f t="shared" si="32"/>
        <v>12000</v>
      </c>
      <c r="AA160"/>
    </row>
    <row r="161" spans="24:27" ht="16" x14ac:dyDescent="0.2">
      <c r="X161" s="74" t="str">
        <f t="shared" ref="X161:Z161" si="33">X109</f>
        <v>Normal Computing (1)</v>
      </c>
      <c r="Y161" s="141">
        <f t="shared" si="33"/>
        <v>45900</v>
      </c>
      <c r="Z161" s="142">
        <f t="shared" si="33"/>
        <v>70000</v>
      </c>
      <c r="AA161"/>
    </row>
    <row r="162" spans="24:27" ht="16" x14ac:dyDescent="0.2">
      <c r="X162" s="74" t="str">
        <f t="shared" ref="X162:Z162" si="34">X110</f>
        <v>Primitive</v>
      </c>
      <c r="Y162" s="141">
        <f t="shared" si="34"/>
        <v>45900</v>
      </c>
      <c r="Z162" s="142">
        <f t="shared" si="34"/>
        <v>34687.5</v>
      </c>
      <c r="AA162"/>
    </row>
    <row r="163" spans="24:27" ht="16" x14ac:dyDescent="0.2">
      <c r="X163" s="74" t="str">
        <f t="shared" ref="X163:Z163" si="35">X111</f>
        <v>Blue Energy</v>
      </c>
      <c r="Y163" s="141">
        <f t="shared" si="35"/>
        <v>45900</v>
      </c>
      <c r="Z163" s="142">
        <f t="shared" si="35"/>
        <v>20000</v>
      </c>
      <c r="AA163"/>
    </row>
    <row r="164" spans="24:27" ht="16" x14ac:dyDescent="0.2">
      <c r="X164" s="74" t="str">
        <f t="shared" ref="X164:Z164" si="36">X112</f>
        <v>Archera</v>
      </c>
      <c r="Y164" s="141">
        <f t="shared" si="36"/>
        <v>45900</v>
      </c>
      <c r="Z164" s="142">
        <f t="shared" si="36"/>
        <v>50000</v>
      </c>
      <c r="AA164"/>
    </row>
    <row r="165" spans="24:27" ht="16" x14ac:dyDescent="0.2">
      <c r="X165" s="74" t="str">
        <f t="shared" ref="X165:Z165" si="37">X113</f>
        <v>Zap Energy</v>
      </c>
      <c r="Y165" s="141">
        <f t="shared" si="37"/>
        <v>45900</v>
      </c>
      <c r="Z165" s="142">
        <f t="shared" si="37"/>
        <v>140000</v>
      </c>
      <c r="AA165"/>
    </row>
    <row r="166" spans="24:27" ht="16" x14ac:dyDescent="0.2">
      <c r="AA166"/>
    </row>
    <row r="167" spans="24:27" ht="18" x14ac:dyDescent="0.3">
      <c r="Y167" s="144"/>
      <c r="Z167" s="163">
        <f>$O$4</f>
        <v>45900</v>
      </c>
      <c r="AA167"/>
    </row>
    <row r="168" spans="24:27" ht="16" x14ac:dyDescent="0.2">
      <c r="Y168" s="145" t="s">
        <v>41</v>
      </c>
      <c r="Z168" s="146">
        <f>XIRR(Z126:Z165,Y126:Y165)</f>
        <v>0.75996869802474953</v>
      </c>
      <c r="AA168"/>
    </row>
  </sheetData>
  <conditionalFormatting sqref="P5:P30 AD5:AD30 S5:S31 S46:S69">
    <cfRule type="containsBlanks" priority="24" stopIfTrue="1">
      <formula>LEN(TRIM(P5))=0</formula>
    </cfRule>
    <cfRule type="cellIs" dxfId="7" priority="25" stopIfTrue="1" operator="lessThan">
      <formula>1</formula>
    </cfRule>
    <cfRule type="cellIs" dxfId="6" priority="26" stopIfTrue="1" operator="greaterThan">
      <formula>1</formula>
    </cfRule>
  </conditionalFormatting>
  <conditionalFormatting sqref="S35:S41">
    <cfRule type="containsBlanks" priority="10" stopIfTrue="1">
      <formula>LEN(TRIM(S35))=0</formula>
    </cfRule>
    <cfRule type="cellIs" dxfId="5" priority="13" stopIfTrue="1" operator="lessThan">
      <formula>1</formula>
    </cfRule>
    <cfRule type="cellIs" dxfId="4" priority="14" stopIfTrue="1" operator="greaterThan">
      <formula>1</formula>
    </cfRule>
  </conditionalFormatting>
  <conditionalFormatting sqref="T5:T31 T45:T69">
    <cfRule type="cellIs" dxfId="3" priority="33" stopIfTrue="1" operator="greaterThan">
      <formula>0.0001</formula>
    </cfRule>
    <cfRule type="cellIs" dxfId="2" priority="34" stopIfTrue="1" operator="lessThan">
      <formula>0</formula>
    </cfRule>
  </conditionalFormatting>
  <conditionalFormatting sqref="T35:T43">
    <cfRule type="cellIs" dxfId="1" priority="11" stopIfTrue="1" operator="greaterThan">
      <formula>0.0001</formula>
    </cfRule>
    <cfRule type="cellIs" dxfId="0" priority="12" stopIfTrue="1" operator="lessThan">
      <formula>0</formula>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DF23-C15C-A742-9DAD-F232FAA11798}">
  <dimension ref="A1"/>
  <sheetViews>
    <sheetView zoomScale="70" workbookViewId="0">
      <selection activeCell="W18" sqref="W18"/>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Returns</vt:lpstr>
      <vt:lpstr>Disclosures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Dunteman</dc:creator>
  <cp:lastModifiedBy>Dillon Dunteman</cp:lastModifiedBy>
  <dcterms:created xsi:type="dcterms:W3CDTF">2023-12-24T23:34:49Z</dcterms:created>
  <dcterms:modified xsi:type="dcterms:W3CDTF">2025-09-06T06:48:23Z</dcterms:modified>
</cp:coreProperties>
</file>